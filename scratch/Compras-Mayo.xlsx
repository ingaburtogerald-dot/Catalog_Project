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ngenvmcap933320.sharepoint.com/sites/Gyro'sStore/Shared Documents/Finanzas de la tienda/"/>
    </mc:Choice>
  </mc:AlternateContent>
  <xr:revisionPtr revIDLastSave="1935" documentId="11_7525236B20398977924E86C15198BCDBD862803B" xr6:coauthVersionLast="47" xr6:coauthVersionMax="47" xr10:uidLastSave="{AA1C68F2-B3B9-41C1-ADBD-1DB9C4A6428A}"/>
  <bookViews>
    <workbookView xWindow="-120" yWindow="-120" windowWidth="29040" windowHeight="15720" activeTab="1" xr2:uid="{00000000-000D-0000-FFFF-FFFF00000000}"/>
  </bookViews>
  <sheets>
    <sheet name="Compras" sheetId="1" r:id="rId1"/>
    <sheet name="Stock" sheetId="2" r:id="rId2"/>
    <sheet name="Mayo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I86" i="1"/>
  <c r="L110" i="1"/>
  <c r="L109" i="1"/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D39" i="3" s="1"/>
  <c r="B34" i="3"/>
  <c r="B35" i="3"/>
  <c r="B36" i="3"/>
  <c r="B37" i="3"/>
  <c r="B38" i="3"/>
  <c r="B39" i="3"/>
  <c r="B30" i="3"/>
  <c r="B31" i="3"/>
  <c r="B32" i="3"/>
  <c r="B33" i="3"/>
  <c r="B23" i="3"/>
  <c r="B24" i="3"/>
  <c r="B25" i="3"/>
  <c r="B26" i="3"/>
  <c r="B27" i="3"/>
  <c r="B28" i="3"/>
  <c r="B29" i="3"/>
  <c r="C2" i="2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C38" i="2"/>
  <c r="D38" i="2"/>
  <c r="F38" i="2" s="1"/>
  <c r="D2" i="2"/>
  <c r="F2" i="2" s="1"/>
  <c r="D3" i="2"/>
  <c r="F3" i="2" s="1"/>
  <c r="D4" i="2"/>
  <c r="F4" i="2" s="1"/>
  <c r="D5" i="2"/>
  <c r="F5" i="2" s="1"/>
  <c r="D6" i="2"/>
  <c r="F6" i="2"/>
  <c r="D7" i="2"/>
  <c r="F7" i="2" s="1"/>
  <c r="D8" i="2"/>
  <c r="F8" i="2" s="1"/>
  <c r="D9" i="2"/>
  <c r="F9" i="2" s="1"/>
  <c r="D10" i="2"/>
  <c r="F10" i="2" s="1"/>
  <c r="D11" i="2"/>
  <c r="F11" i="2" s="1"/>
  <c r="D12" i="2"/>
  <c r="F12" i="2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F21" i="2" s="1"/>
  <c r="D22" i="2"/>
  <c r="F22" i="2" s="1"/>
  <c r="D23" i="2"/>
  <c r="F23" i="2"/>
  <c r="D24" i="2"/>
  <c r="F24" i="2" s="1"/>
  <c r="D25" i="2"/>
  <c r="F25" i="2" s="1"/>
  <c r="D26" i="2"/>
  <c r="F26" i="2" s="1"/>
  <c r="D27" i="2"/>
  <c r="F27" i="2" s="1"/>
  <c r="D28" i="2"/>
  <c r="F28" i="2" s="1"/>
  <c r="D29" i="2"/>
  <c r="F29" i="2"/>
  <c r="D30" i="2"/>
  <c r="F30" i="2" s="1"/>
  <c r="D31" i="2"/>
  <c r="F31" i="2" s="1"/>
  <c r="D32" i="2"/>
  <c r="F32" i="2" s="1"/>
  <c r="D33" i="2"/>
  <c r="F33" i="2" s="1"/>
  <c r="D34" i="2"/>
  <c r="F34" i="2"/>
  <c r="D35" i="2"/>
  <c r="F35" i="2"/>
  <c r="D36" i="2"/>
  <c r="F36" i="2" s="1"/>
  <c r="D37" i="2"/>
  <c r="F37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G81" i="1"/>
  <c r="I81" i="1" s="1"/>
  <c r="J81" i="1" s="1"/>
  <c r="G82" i="1"/>
  <c r="I82" i="1" s="1"/>
  <c r="J82" i="1" s="1"/>
  <c r="G83" i="1"/>
  <c r="I83" i="1" s="1"/>
  <c r="J83" i="1" s="1"/>
  <c r="G85" i="1"/>
  <c r="I85" i="1" s="1"/>
  <c r="J85" i="1" s="1"/>
  <c r="G84" i="1"/>
  <c r="I84" i="1"/>
  <c r="J84" i="1" s="1"/>
  <c r="G71" i="1"/>
  <c r="I71" i="1" s="1"/>
  <c r="J71" i="1" s="1"/>
  <c r="G74" i="1"/>
  <c r="I74" i="1" s="1"/>
  <c r="J74" i="1" s="1"/>
  <c r="G77" i="1"/>
  <c r="I77" i="1" s="1"/>
  <c r="J77" i="1" s="1"/>
  <c r="G78" i="1"/>
  <c r="I78" i="1" s="1"/>
  <c r="J78" i="1" s="1"/>
  <c r="G76" i="1"/>
  <c r="I76" i="1" s="1"/>
  <c r="J76" i="1" s="1"/>
  <c r="G79" i="1"/>
  <c r="I79" i="1" s="1"/>
  <c r="J79" i="1" s="1"/>
  <c r="G75" i="1"/>
  <c r="I75" i="1" s="1"/>
  <c r="J75" i="1" s="1"/>
  <c r="G73" i="1"/>
  <c r="I73" i="1"/>
  <c r="J73" i="1" s="1"/>
  <c r="G69" i="1"/>
  <c r="I69" i="1" s="1"/>
  <c r="J69" i="1" s="1"/>
  <c r="G72" i="1"/>
  <c r="I72" i="1" s="1"/>
  <c r="J72" i="1" s="1"/>
  <c r="G67" i="1"/>
  <c r="I67" i="1" s="1"/>
  <c r="J67" i="1" s="1"/>
  <c r="G66" i="1"/>
  <c r="I66" i="1" s="1"/>
  <c r="J66" i="1" s="1"/>
  <c r="G70" i="1"/>
  <c r="I70" i="1" s="1"/>
  <c r="J70" i="1" s="1"/>
  <c r="G65" i="1"/>
  <c r="I65" i="1" s="1"/>
  <c r="J65" i="1" s="1"/>
  <c r="G68" i="1"/>
  <c r="I68" i="1" s="1"/>
  <c r="J68" i="1" s="1"/>
  <c r="G64" i="1"/>
  <c r="I64" i="1"/>
  <c r="J64" i="1" s="1"/>
  <c r="G80" i="1"/>
  <c r="I80" i="1" s="1"/>
  <c r="J80" i="1" s="1"/>
  <c r="G62" i="1"/>
  <c r="I62" i="1" s="1"/>
  <c r="J62" i="1" s="1"/>
  <c r="G63" i="1"/>
  <c r="I63" i="1" s="1"/>
  <c r="J63" i="1" s="1"/>
  <c r="G61" i="1"/>
  <c r="I61" i="1" s="1"/>
  <c r="J61" i="1" s="1"/>
  <c r="E110" i="1"/>
  <c r="G108" i="1"/>
  <c r="I108" i="1" s="1"/>
  <c r="J108" i="1" s="1"/>
  <c r="G109" i="1"/>
  <c r="I109" i="1" s="1"/>
  <c r="J109" i="1" s="1"/>
  <c r="G106" i="1"/>
  <c r="I106" i="1" s="1"/>
  <c r="J106" i="1" s="1"/>
  <c r="G107" i="1"/>
  <c r="I107" i="1" s="1"/>
  <c r="J107" i="1" s="1"/>
  <c r="G105" i="1"/>
  <c r="I105" i="1" s="1"/>
  <c r="J105" i="1" s="1"/>
  <c r="G104" i="1"/>
  <c r="I104" i="1" s="1"/>
  <c r="J104" i="1" s="1"/>
  <c r="G103" i="1"/>
  <c r="I103" i="1" s="1"/>
  <c r="J103" i="1" s="1"/>
  <c r="G100" i="1"/>
  <c r="I100" i="1" s="1"/>
  <c r="J100" i="1" s="1"/>
  <c r="G99" i="1"/>
  <c r="I99" i="1" s="1"/>
  <c r="J99" i="1" s="1"/>
  <c r="G60" i="1"/>
  <c r="I60" i="1" s="1"/>
  <c r="J60" i="1" s="1"/>
  <c r="G59" i="1"/>
  <c r="I59" i="1" s="1"/>
  <c r="J59" i="1" s="1"/>
  <c r="G57" i="1"/>
  <c r="I57" i="1" s="1"/>
  <c r="J57" i="1" s="1"/>
  <c r="G58" i="1"/>
  <c r="I58" i="1" s="1"/>
  <c r="J58" i="1" s="1"/>
  <c r="G56" i="1"/>
  <c r="I56" i="1" s="1"/>
  <c r="J56" i="1" s="1"/>
  <c r="G55" i="1"/>
  <c r="I55" i="1" s="1"/>
  <c r="J55" i="1" s="1"/>
  <c r="G39" i="1"/>
  <c r="I39" i="1" s="1"/>
  <c r="J39" i="1" s="1"/>
  <c r="G33" i="1"/>
  <c r="I33" i="1" s="1"/>
  <c r="J33" i="1" s="1"/>
  <c r="G33" i="2" s="1"/>
  <c r="I33" i="2" s="1"/>
  <c r="J33" i="2" s="1"/>
  <c r="G34" i="1"/>
  <c r="I34" i="1" s="1"/>
  <c r="J34" i="1" s="1"/>
  <c r="G34" i="2" s="1"/>
  <c r="I34" i="2" s="1"/>
  <c r="J34" i="2" s="1"/>
  <c r="G35" i="1"/>
  <c r="I35" i="1" s="1"/>
  <c r="J35" i="1" s="1"/>
  <c r="G35" i="2" s="1"/>
  <c r="I35" i="2" s="1"/>
  <c r="J35" i="2" s="1"/>
  <c r="G36" i="1"/>
  <c r="I36" i="1" s="1"/>
  <c r="J36" i="1" s="1"/>
  <c r="G36" i="2" s="1"/>
  <c r="I36" i="2" s="1"/>
  <c r="J36" i="2" s="1"/>
  <c r="L36" i="2" s="1"/>
  <c r="G32" i="1"/>
  <c r="I32" i="1" s="1"/>
  <c r="J32" i="1" s="1"/>
  <c r="G32" i="2" s="1"/>
  <c r="I32" i="2" s="1"/>
  <c r="J32" i="2" s="1"/>
  <c r="D32" i="3" s="1"/>
  <c r="G31" i="1"/>
  <c r="I31" i="1" s="1"/>
  <c r="J31" i="1" s="1"/>
  <c r="G31" i="2" s="1"/>
  <c r="I31" i="2" s="1"/>
  <c r="J31" i="2" s="1"/>
  <c r="L31" i="2" s="1"/>
  <c r="G30" i="1"/>
  <c r="I30" i="1" s="1"/>
  <c r="J30" i="1" s="1"/>
  <c r="G30" i="2" s="1"/>
  <c r="I30" i="2" s="1"/>
  <c r="J30" i="2" s="1"/>
  <c r="G29" i="1"/>
  <c r="I29" i="1"/>
  <c r="J29" i="1" s="1"/>
  <c r="G29" i="2" s="1"/>
  <c r="I29" i="2" s="1"/>
  <c r="J29" i="2" s="1"/>
  <c r="L29" i="2" s="1"/>
  <c r="G25" i="1"/>
  <c r="I25" i="1" s="1"/>
  <c r="J25" i="1" s="1"/>
  <c r="G25" i="2" s="1"/>
  <c r="I25" i="2" s="1"/>
  <c r="J25" i="2" s="1"/>
  <c r="G24" i="1"/>
  <c r="I24" i="1" s="1"/>
  <c r="J24" i="1" s="1"/>
  <c r="G24" i="2" s="1"/>
  <c r="I24" i="2" s="1"/>
  <c r="J24" i="2" s="1"/>
  <c r="L24" i="2" s="1"/>
  <c r="G26" i="1"/>
  <c r="I26" i="1" s="1"/>
  <c r="J26" i="1" s="1"/>
  <c r="G26" i="2" s="1"/>
  <c r="I26" i="2" s="1"/>
  <c r="J26" i="2" s="1"/>
  <c r="L26" i="2" s="1"/>
  <c r="G21" i="1"/>
  <c r="I21" i="1" s="1"/>
  <c r="J21" i="1" s="1"/>
  <c r="G21" i="2" s="1"/>
  <c r="I21" i="2" s="1"/>
  <c r="J21" i="2" s="1"/>
  <c r="G23" i="1"/>
  <c r="I23" i="1" s="1"/>
  <c r="J23" i="1" s="1"/>
  <c r="G23" i="2" s="1"/>
  <c r="I23" i="2" s="1"/>
  <c r="J23" i="2" s="1"/>
  <c r="D23" i="3" s="1"/>
  <c r="G27" i="1"/>
  <c r="I27" i="1" s="1"/>
  <c r="J27" i="1" s="1"/>
  <c r="G27" i="2" s="1"/>
  <c r="I27" i="2" s="1"/>
  <c r="J27" i="2" s="1"/>
  <c r="L27" i="2" s="1"/>
  <c r="G10" i="1"/>
  <c r="I10" i="1"/>
  <c r="J10" i="1" s="1"/>
  <c r="G10" i="2" s="1"/>
  <c r="I10" i="2" s="1"/>
  <c r="J10" i="2" s="1"/>
  <c r="G9" i="1"/>
  <c r="I9" i="1" s="1"/>
  <c r="J9" i="1" s="1"/>
  <c r="G9" i="2" s="1"/>
  <c r="I9" i="2" s="1"/>
  <c r="J9" i="2" s="1"/>
  <c r="G18" i="1"/>
  <c r="I18" i="1"/>
  <c r="J18" i="1" s="1"/>
  <c r="G18" i="2" s="1"/>
  <c r="I18" i="2" s="1"/>
  <c r="J18" i="2" s="1"/>
  <c r="G19" i="1"/>
  <c r="I19" i="1"/>
  <c r="J19" i="1" s="1"/>
  <c r="G19" i="2" s="1"/>
  <c r="I19" i="2" s="1"/>
  <c r="J19" i="2" s="1"/>
  <c r="G20" i="1"/>
  <c r="I20" i="1"/>
  <c r="J20" i="1" s="1"/>
  <c r="G20" i="2" s="1"/>
  <c r="I20" i="2" s="1"/>
  <c r="J20" i="2" s="1"/>
  <c r="G22" i="1"/>
  <c r="I22" i="1" s="1"/>
  <c r="J22" i="1" s="1"/>
  <c r="G22" i="2" s="1"/>
  <c r="I22" i="2" s="1"/>
  <c r="J22" i="2" s="1"/>
  <c r="G14" i="1"/>
  <c r="I14" i="1" s="1"/>
  <c r="J14" i="1" s="1"/>
  <c r="G14" i="2" s="1"/>
  <c r="I14" i="2" s="1"/>
  <c r="J14" i="2" s="1"/>
  <c r="L14" i="2" s="1"/>
  <c r="G13" i="1"/>
  <c r="I13" i="1" s="1"/>
  <c r="J13" i="1" s="1"/>
  <c r="G13" i="2" s="1"/>
  <c r="I13" i="2" s="1"/>
  <c r="J13" i="2" s="1"/>
  <c r="G15" i="1"/>
  <c r="I15" i="1" s="1"/>
  <c r="J15" i="1" s="1"/>
  <c r="G15" i="2" s="1"/>
  <c r="I15" i="2" s="1"/>
  <c r="J15" i="2" s="1"/>
  <c r="L15" i="2" s="1"/>
  <c r="G11" i="1"/>
  <c r="I11" i="1" s="1"/>
  <c r="J11" i="1" s="1"/>
  <c r="G11" i="2" s="1"/>
  <c r="I11" i="2" s="1"/>
  <c r="J11" i="2" s="1"/>
  <c r="G12" i="1"/>
  <c r="I12" i="1" s="1"/>
  <c r="J12" i="1" s="1"/>
  <c r="G12" i="2" s="1"/>
  <c r="I12" i="2" s="1"/>
  <c r="J12" i="2" s="1"/>
  <c r="G8" i="1"/>
  <c r="I8" i="1" s="1"/>
  <c r="J8" i="1" s="1"/>
  <c r="G8" i="2" s="1"/>
  <c r="I8" i="2" s="1"/>
  <c r="J8" i="2" s="1"/>
  <c r="G16" i="1"/>
  <c r="I16" i="1" s="1"/>
  <c r="J16" i="1" s="1"/>
  <c r="G16" i="2" s="1"/>
  <c r="I16" i="2" s="1"/>
  <c r="J16" i="2" s="1"/>
  <c r="G17" i="1"/>
  <c r="I17" i="1" s="1"/>
  <c r="J17" i="1" s="1"/>
  <c r="G17" i="2" s="1"/>
  <c r="I17" i="2" s="1"/>
  <c r="J17" i="2" s="1"/>
  <c r="G6" i="1"/>
  <c r="I6" i="1" s="1"/>
  <c r="J6" i="1" s="1"/>
  <c r="G6" i="2" s="1"/>
  <c r="I6" i="2" s="1"/>
  <c r="J6" i="2" s="1"/>
  <c r="G28" i="1"/>
  <c r="I28" i="1" s="1"/>
  <c r="J28" i="1" s="1"/>
  <c r="G28" i="2" s="1"/>
  <c r="I28" i="2" s="1"/>
  <c r="J28" i="2" s="1"/>
  <c r="G7" i="1"/>
  <c r="I7" i="1" s="1"/>
  <c r="J7" i="1" s="1"/>
  <c r="G7" i="2" s="1"/>
  <c r="I7" i="2" s="1"/>
  <c r="J7" i="2" s="1"/>
  <c r="G5" i="1"/>
  <c r="I5" i="1"/>
  <c r="J5" i="1"/>
  <c r="G5" i="2" s="1"/>
  <c r="I5" i="2" s="1"/>
  <c r="J5" i="2" s="1"/>
  <c r="G4" i="1"/>
  <c r="I4" i="1" s="1"/>
  <c r="J4" i="1" s="1"/>
  <c r="G4" i="2" s="1"/>
  <c r="I4" i="2" s="1"/>
  <c r="J4" i="2" s="1"/>
  <c r="G2" i="1"/>
  <c r="I2" i="1" s="1"/>
  <c r="J2" i="1" s="1"/>
  <c r="G2" i="2" s="1"/>
  <c r="I2" i="2" s="1"/>
  <c r="J2" i="2" s="1"/>
  <c r="G98" i="1"/>
  <c r="I98" i="1" s="1"/>
  <c r="J98" i="1" s="1"/>
  <c r="G95" i="1"/>
  <c r="I95" i="1" s="1"/>
  <c r="J95" i="1" s="1"/>
  <c r="G96" i="1"/>
  <c r="I96" i="1" s="1"/>
  <c r="J96" i="1" s="1"/>
  <c r="G97" i="1"/>
  <c r="I97" i="1"/>
  <c r="J97" i="1"/>
  <c r="G87" i="1"/>
  <c r="I87" i="1" s="1"/>
  <c r="J87" i="1" s="1"/>
  <c r="G92" i="1"/>
  <c r="I92" i="1" s="1"/>
  <c r="J92" i="1" s="1"/>
  <c r="G91" i="1"/>
  <c r="I91" i="1" s="1"/>
  <c r="J91" i="1" s="1"/>
  <c r="G93" i="1"/>
  <c r="I93" i="1" s="1"/>
  <c r="J93" i="1" s="1"/>
  <c r="G89" i="1"/>
  <c r="I89" i="1" s="1"/>
  <c r="J89" i="1" s="1"/>
  <c r="G88" i="1"/>
  <c r="I88" i="1" s="1"/>
  <c r="J88" i="1" s="1"/>
  <c r="G86" i="1"/>
  <c r="G53" i="1"/>
  <c r="I53" i="1"/>
  <c r="J53" i="1"/>
  <c r="G52" i="1"/>
  <c r="I52" i="1"/>
  <c r="J52" i="1" s="1"/>
  <c r="G50" i="1"/>
  <c r="I50" i="1"/>
  <c r="J50" i="1"/>
  <c r="G51" i="1"/>
  <c r="I51" i="1" s="1"/>
  <c r="J51" i="1" s="1"/>
  <c r="G54" i="1"/>
  <c r="I54" i="1"/>
  <c r="J54" i="1"/>
  <c r="G49" i="1"/>
  <c r="I49" i="1"/>
  <c r="J49" i="1" s="1"/>
  <c r="G90" i="1"/>
  <c r="I90" i="1"/>
  <c r="J90" i="1"/>
  <c r="G94" i="1"/>
  <c r="I94" i="1" s="1"/>
  <c r="J94" i="1" s="1"/>
  <c r="G43" i="1"/>
  <c r="L41" i="1" s="1"/>
  <c r="I43" i="1"/>
  <c r="J43" i="1" s="1"/>
  <c r="G44" i="1"/>
  <c r="I44" i="1"/>
  <c r="J44" i="1" s="1"/>
  <c r="G40" i="1"/>
  <c r="I40" i="1" s="1"/>
  <c r="J40" i="1" s="1"/>
  <c r="G41" i="1"/>
  <c r="I41" i="1" s="1"/>
  <c r="J41" i="1" s="1"/>
  <c r="G42" i="1"/>
  <c r="I42" i="1"/>
  <c r="J42" i="1" s="1"/>
  <c r="G47" i="1"/>
  <c r="I47" i="1"/>
  <c r="J47" i="1" s="1"/>
  <c r="G46" i="1"/>
  <c r="I46" i="1" s="1"/>
  <c r="J46" i="1" s="1"/>
  <c r="G45" i="1"/>
  <c r="I45" i="1" s="1"/>
  <c r="J45" i="1" s="1"/>
  <c r="G102" i="1"/>
  <c r="I102" i="1"/>
  <c r="J102" i="1" s="1"/>
  <c r="G101" i="1"/>
  <c r="I101" i="1"/>
  <c r="J101" i="1" s="1"/>
  <c r="G48" i="1"/>
  <c r="I48" i="1"/>
  <c r="J48" i="1"/>
  <c r="G38" i="1"/>
  <c r="I38" i="1" s="1"/>
  <c r="J38" i="1" s="1"/>
  <c r="G38" i="2" s="1"/>
  <c r="I38" i="2" s="1"/>
  <c r="J38" i="2" s="1"/>
  <c r="D38" i="3" s="1"/>
  <c r="G37" i="1"/>
  <c r="I37" i="1" s="1"/>
  <c r="J37" i="1" s="1"/>
  <c r="G37" i="2" s="1"/>
  <c r="I37" i="2" s="1"/>
  <c r="J37" i="2" s="1"/>
  <c r="G3" i="1"/>
  <c r="I3" i="1"/>
  <c r="J3" i="1" s="1"/>
  <c r="G3" i="2" s="1"/>
  <c r="I3" i="2" s="1"/>
  <c r="J3" i="2" s="1"/>
  <c r="L3" i="2" s="1"/>
  <c r="K110" i="1"/>
  <c r="J86" i="1" l="1"/>
  <c r="I110" i="1"/>
  <c r="D21" i="3"/>
  <c r="L21" i="2"/>
  <c r="D4" i="3"/>
  <c r="L4" i="2"/>
  <c r="L11" i="2"/>
  <c r="D11" i="3"/>
  <c r="D25" i="3"/>
  <c r="L25" i="2"/>
  <c r="G110" i="1"/>
  <c r="D22" i="3"/>
  <c r="L22" i="2"/>
  <c r="L18" i="2"/>
  <c r="D18" i="3"/>
  <c r="D34" i="3"/>
  <c r="L34" i="2"/>
  <c r="L30" i="2"/>
  <c r="D30" i="3"/>
  <c r="L16" i="2"/>
  <c r="D16" i="3"/>
  <c r="L28" i="2"/>
  <c r="D28" i="3"/>
  <c r="D9" i="3"/>
  <c r="L9" i="2"/>
  <c r="L12" i="2"/>
  <c r="D12" i="3"/>
  <c r="D13" i="3"/>
  <c r="L13" i="2"/>
  <c r="D33" i="3"/>
  <c r="L33" i="2"/>
  <c r="D6" i="3"/>
  <c r="L6" i="2"/>
  <c r="D37" i="3"/>
  <c r="L37" i="2"/>
  <c r="D2" i="3"/>
  <c r="L2" i="2"/>
  <c r="D8" i="3"/>
  <c r="L8" i="2"/>
  <c r="L19" i="2"/>
  <c r="D19" i="3"/>
  <c r="L5" i="2"/>
  <c r="D5" i="3"/>
  <c r="D20" i="3"/>
  <c r="L20" i="2"/>
  <c r="L35" i="2"/>
  <c r="D35" i="3"/>
  <c r="L10" i="2"/>
  <c r="D10" i="3"/>
  <c r="D7" i="3"/>
  <c r="L7" i="2"/>
  <c r="D17" i="3"/>
  <c r="L17" i="2"/>
  <c r="L32" i="2"/>
  <c r="L38" i="2"/>
  <c r="L23" i="2"/>
  <c r="E8" i="3"/>
  <c r="H8" i="3" s="1"/>
  <c r="E6" i="3"/>
  <c r="E13" i="3"/>
  <c r="E21" i="3"/>
  <c r="E29" i="3"/>
  <c r="E39" i="3"/>
  <c r="D29" i="3"/>
  <c r="D31" i="3"/>
  <c r="D24" i="3"/>
  <c r="D27" i="3"/>
  <c r="D26" i="3"/>
  <c r="D14" i="3"/>
  <c r="D15" i="3"/>
  <c r="D3" i="3"/>
  <c r="E3" i="3"/>
  <c r="E26" i="3"/>
  <c r="E31" i="3"/>
  <c r="E4" i="3"/>
  <c r="E14" i="3"/>
  <c r="E22" i="3"/>
  <c r="E27" i="3"/>
  <c r="E5" i="3"/>
  <c r="E7" i="3"/>
  <c r="E11" i="3"/>
  <c r="E15" i="3"/>
  <c r="E17" i="3"/>
  <c r="E24" i="3"/>
  <c r="E36" i="3"/>
  <c r="D36" i="3"/>
  <c r="J8" i="3" l="1"/>
  <c r="E30" i="3"/>
  <c r="H30" i="3" s="1"/>
  <c r="I30" i="3" s="1"/>
  <c r="E19" i="3"/>
  <c r="E34" i="3"/>
  <c r="E18" i="3"/>
  <c r="K8" i="3"/>
  <c r="E38" i="3"/>
  <c r="J38" i="3" s="1"/>
  <c r="K38" i="3" s="1"/>
  <c r="I8" i="3"/>
  <c r="E16" i="3"/>
  <c r="F16" i="3" s="1"/>
  <c r="G16" i="3" s="1"/>
  <c r="F8" i="3"/>
  <c r="G8" i="3" s="1"/>
  <c r="E12" i="3"/>
  <c r="J12" i="3" s="1"/>
  <c r="K12" i="3" s="1"/>
  <c r="E2" i="3"/>
  <c r="H2" i="3" s="1"/>
  <c r="I2" i="3" s="1"/>
  <c r="E9" i="3"/>
  <c r="H9" i="3" s="1"/>
  <c r="I9" i="3" s="1"/>
  <c r="E37" i="3"/>
  <c r="F37" i="3" s="1"/>
  <c r="G37" i="3" s="1"/>
  <c r="E33" i="3"/>
  <c r="F33" i="3" s="1"/>
  <c r="G33" i="3" s="1"/>
  <c r="E10" i="3"/>
  <c r="H10" i="3" s="1"/>
  <c r="I10" i="3" s="1"/>
  <c r="E25" i="3"/>
  <c r="H25" i="3" s="1"/>
  <c r="I25" i="3" s="1"/>
  <c r="E32" i="3"/>
  <c r="F32" i="3" s="1"/>
  <c r="G32" i="3" s="1"/>
  <c r="E28" i="3"/>
  <c r="F28" i="3" s="1"/>
  <c r="G28" i="3" s="1"/>
  <c r="E20" i="3"/>
  <c r="H20" i="3" s="1"/>
  <c r="I20" i="3" s="1"/>
  <c r="E23" i="3"/>
  <c r="F23" i="3" s="1"/>
  <c r="G23" i="3" s="1"/>
  <c r="E35" i="3"/>
  <c r="J35" i="3" s="1"/>
  <c r="K35" i="3" s="1"/>
  <c r="H6" i="3"/>
  <c r="I6" i="3" s="1"/>
  <c r="F6" i="3"/>
  <c r="G6" i="3" s="1"/>
  <c r="J6" i="3"/>
  <c r="K6" i="3" s="1"/>
  <c r="F13" i="3"/>
  <c r="G13" i="3" s="1"/>
  <c r="H13" i="3"/>
  <c r="I13" i="3" s="1"/>
  <c r="J13" i="3"/>
  <c r="K13" i="3" s="1"/>
  <c r="H19" i="3"/>
  <c r="I19" i="3" s="1"/>
  <c r="F19" i="3"/>
  <c r="G19" i="3" s="1"/>
  <c r="J19" i="3"/>
  <c r="K19" i="3" s="1"/>
  <c r="H21" i="3"/>
  <c r="I21" i="3" s="1"/>
  <c r="F21" i="3"/>
  <c r="G21" i="3" s="1"/>
  <c r="J21" i="3"/>
  <c r="K21" i="3" s="1"/>
  <c r="J25" i="3"/>
  <c r="K25" i="3" s="1"/>
  <c r="F25" i="3"/>
  <c r="G25" i="3" s="1"/>
  <c r="H29" i="3"/>
  <c r="I29" i="3" s="1"/>
  <c r="J29" i="3"/>
  <c r="K29" i="3" s="1"/>
  <c r="F29" i="3"/>
  <c r="G29" i="3" s="1"/>
  <c r="H39" i="3"/>
  <c r="I39" i="3" s="1"/>
  <c r="F39" i="3"/>
  <c r="G39" i="3" s="1"/>
  <c r="J39" i="3"/>
  <c r="K39" i="3" s="1"/>
  <c r="F3" i="3"/>
  <c r="G3" i="3" s="1"/>
  <c r="H3" i="3"/>
  <c r="I3" i="3" s="1"/>
  <c r="J3" i="3"/>
  <c r="K3" i="3" s="1"/>
  <c r="F18" i="3"/>
  <c r="G18" i="3" s="1"/>
  <c r="H18" i="3"/>
  <c r="I18" i="3" s="1"/>
  <c r="J18" i="3"/>
  <c r="K18" i="3" s="1"/>
  <c r="F26" i="3"/>
  <c r="G26" i="3" s="1"/>
  <c r="H26" i="3"/>
  <c r="I26" i="3" s="1"/>
  <c r="J26" i="3"/>
  <c r="K26" i="3" s="1"/>
  <c r="J30" i="3"/>
  <c r="K30" i="3" s="1"/>
  <c r="F31" i="3"/>
  <c r="G31" i="3" s="1"/>
  <c r="H31" i="3"/>
  <c r="I31" i="3" s="1"/>
  <c r="J31" i="3"/>
  <c r="K31" i="3" s="1"/>
  <c r="F38" i="3"/>
  <c r="G38" i="3" s="1"/>
  <c r="F4" i="3"/>
  <c r="G4" i="3" s="1"/>
  <c r="H4" i="3"/>
  <c r="I4" i="3" s="1"/>
  <c r="J4" i="3"/>
  <c r="K4" i="3" s="1"/>
  <c r="F14" i="3"/>
  <c r="G14" i="3" s="1"/>
  <c r="H14" i="3"/>
  <c r="I14" i="3" s="1"/>
  <c r="J14" i="3"/>
  <c r="K14" i="3" s="1"/>
  <c r="F22" i="3"/>
  <c r="G22" i="3" s="1"/>
  <c r="H22" i="3"/>
  <c r="I22" i="3" s="1"/>
  <c r="J22" i="3"/>
  <c r="K22" i="3" s="1"/>
  <c r="H27" i="3"/>
  <c r="I27" i="3" s="1"/>
  <c r="F27" i="3"/>
  <c r="G27" i="3" s="1"/>
  <c r="J27" i="3"/>
  <c r="K27" i="3" s="1"/>
  <c r="H32" i="3"/>
  <c r="I32" i="3" s="1"/>
  <c r="H5" i="3"/>
  <c r="I5" i="3" s="1"/>
  <c r="F5" i="3"/>
  <c r="G5" i="3" s="1"/>
  <c r="J5" i="3"/>
  <c r="K5" i="3" s="1"/>
  <c r="F7" i="3"/>
  <c r="G7" i="3" s="1"/>
  <c r="H7" i="3"/>
  <c r="I7" i="3" s="1"/>
  <c r="J7" i="3"/>
  <c r="K7" i="3" s="1"/>
  <c r="F11" i="3"/>
  <c r="G11" i="3" s="1"/>
  <c r="H11" i="3"/>
  <c r="I11" i="3" s="1"/>
  <c r="J11" i="3"/>
  <c r="K11" i="3" s="1"/>
  <c r="H15" i="3"/>
  <c r="I15" i="3" s="1"/>
  <c r="J15" i="3"/>
  <c r="K15" i="3" s="1"/>
  <c r="F15" i="3"/>
  <c r="G15" i="3" s="1"/>
  <c r="H17" i="3"/>
  <c r="I17" i="3" s="1"/>
  <c r="F17" i="3"/>
  <c r="G17" i="3" s="1"/>
  <c r="J17" i="3"/>
  <c r="K17" i="3" s="1"/>
  <c r="H24" i="3"/>
  <c r="I24" i="3" s="1"/>
  <c r="F24" i="3"/>
  <c r="G24" i="3" s="1"/>
  <c r="J24" i="3"/>
  <c r="K24" i="3" s="1"/>
  <c r="H34" i="3"/>
  <c r="I34" i="3" s="1"/>
  <c r="J34" i="3"/>
  <c r="K34" i="3" s="1"/>
  <c r="F34" i="3"/>
  <c r="G34" i="3" s="1"/>
  <c r="J36" i="3"/>
  <c r="K36" i="3" s="1"/>
  <c r="H36" i="3"/>
  <c r="I36" i="3" s="1"/>
  <c r="F36" i="3"/>
  <c r="G36" i="3" s="1"/>
  <c r="H12" i="3" l="1"/>
  <c r="I12" i="3" s="1"/>
  <c r="F30" i="3"/>
  <c r="G30" i="3" s="1"/>
  <c r="H23" i="3"/>
  <c r="I23" i="3" s="1"/>
  <c r="F2" i="3"/>
  <c r="G2" i="3" s="1"/>
  <c r="J23" i="3"/>
  <c r="K23" i="3" s="1"/>
  <c r="J2" i="3"/>
  <c r="K2" i="3" s="1"/>
  <c r="F12" i="3"/>
  <c r="G12" i="3" s="1"/>
  <c r="J10" i="3"/>
  <c r="K10" i="3" s="1"/>
  <c r="F10" i="3"/>
  <c r="G10" i="3" s="1"/>
  <c r="J16" i="3"/>
  <c r="K16" i="3" s="1"/>
  <c r="J32" i="3"/>
  <c r="K32" i="3" s="1"/>
  <c r="J33" i="3"/>
  <c r="K33" i="3" s="1"/>
  <c r="H33" i="3"/>
  <c r="I33" i="3" s="1"/>
  <c r="H37" i="3"/>
  <c r="I37" i="3" s="1"/>
  <c r="H38" i="3"/>
  <c r="I38" i="3" s="1"/>
  <c r="H16" i="3"/>
  <c r="I16" i="3" s="1"/>
  <c r="F9" i="3"/>
  <c r="G9" i="3" s="1"/>
  <c r="J37" i="3"/>
  <c r="K37" i="3" s="1"/>
  <c r="F35" i="3"/>
  <c r="G35" i="3" s="1"/>
  <c r="J9" i="3"/>
  <c r="K9" i="3" s="1"/>
  <c r="H35" i="3"/>
  <c r="I35" i="3" s="1"/>
  <c r="J28" i="3"/>
  <c r="K28" i="3" s="1"/>
  <c r="F20" i="3"/>
  <c r="G20" i="3" s="1"/>
  <c r="H28" i="3"/>
  <c r="I28" i="3" s="1"/>
  <c r="J20" i="3"/>
  <c r="K20" i="3" s="1"/>
</calcChain>
</file>

<file path=xl/sharedStrings.xml><?xml version="1.0" encoding="utf-8"?>
<sst xmlns="http://schemas.openxmlformats.org/spreadsheetml/2006/main" count="476" uniqueCount="230">
  <si>
    <t>Fecha</t>
  </si>
  <si>
    <t>Producto</t>
  </si>
  <si>
    <t xml:space="preserve">Cantidad </t>
  </si>
  <si>
    <t>Costo</t>
  </si>
  <si>
    <t>Impuesto</t>
  </si>
  <si>
    <t>Lote</t>
  </si>
  <si>
    <t>LT1</t>
  </si>
  <si>
    <t>Total</t>
  </si>
  <si>
    <t>KZ AZ10</t>
  </si>
  <si>
    <t>Earbuds T9</t>
  </si>
  <si>
    <t>EDX Pro | Mic | Transparente</t>
  </si>
  <si>
    <t xml:space="preserve">EDX Pro | Mic | Azul turquesa </t>
  </si>
  <si>
    <t xml:space="preserve">EDX Pro X | Mic | Negro </t>
  </si>
  <si>
    <t>EDX Pro X | Mic | Transparente</t>
  </si>
  <si>
    <t>EDX Pro X | Mic | Gris</t>
  </si>
  <si>
    <t>KZ Castor | Mic | Bass</t>
  </si>
  <si>
    <t xml:space="preserve">KZ AZ09 Pro </t>
  </si>
  <si>
    <t xml:space="preserve">Cable de repuesto KZ | Tipo C </t>
  </si>
  <si>
    <t>Mouse Attack Shark R1 | Negro</t>
  </si>
  <si>
    <t>Mouse Attack Shark R1 | Blanco</t>
  </si>
  <si>
    <t>Microfono Lapel M9</t>
  </si>
  <si>
    <t>Mouse Pad | Pequeño | Negro</t>
  </si>
  <si>
    <t>Mouse Pad | Pequeño | Gris</t>
  </si>
  <si>
    <t>Codigo</t>
  </si>
  <si>
    <t>LT2</t>
  </si>
  <si>
    <t>KZ ZS10 Pro X |No mic | 3.5mm</t>
  </si>
  <si>
    <t>KZ ZS10 Pro X |No mic | Type C</t>
  </si>
  <si>
    <t>KZ ZS10 Pro X |Mic | Type C</t>
  </si>
  <si>
    <t>KZ PRX | Mic | 3.5mm</t>
  </si>
  <si>
    <t>KZ PRX | Mic | Type C</t>
  </si>
  <si>
    <t>KZ PR3 | Mic | Type C</t>
  </si>
  <si>
    <t>KZ PR3 | Mic | 3.5mm</t>
  </si>
  <si>
    <t>KZ Castor Harman | No Mic | 3.5mm</t>
  </si>
  <si>
    <t>KZ Castor Harman | No Mic | Type C</t>
  </si>
  <si>
    <t>KZ Castor Harman | Mic | Type C</t>
  </si>
  <si>
    <t>KZ Castor Bass | Mic | Type C</t>
  </si>
  <si>
    <t>KZ Castor Bass | No Mic | Type C</t>
  </si>
  <si>
    <t>KZ Castor Pro Harman | No Mic | Type C</t>
  </si>
  <si>
    <t>KZ Castor Pro Harman | Mic | Type C</t>
  </si>
  <si>
    <t>KZ Castor Pro Bass | No Mic | Type C</t>
  </si>
  <si>
    <t>KZ Castor Pro Bass | Mic | Type C</t>
  </si>
  <si>
    <t>KZ EDX Pro X | no Mic | Type C</t>
  </si>
  <si>
    <t>KZ ZSN Pro 2 | Mic | 3.5mm</t>
  </si>
  <si>
    <t>KZ ZSN Pro 2 | No Mic | 3.5mm</t>
  </si>
  <si>
    <t>KZ ZSN Pro 2 | Mic | Type C</t>
  </si>
  <si>
    <t>KZ ZSN Pro 2 | No Mic | Type C</t>
  </si>
  <si>
    <t>KZ AZ09 Pin C</t>
  </si>
  <si>
    <t>KZ AE01 Pin C</t>
  </si>
  <si>
    <t>3.5mm without mic USD9.37</t>
  </si>
  <si>
    <t>type c without mic USD10.96</t>
  </si>
  <si>
    <t>KZ EDX Lite Gray | Mic | Type C</t>
  </si>
  <si>
    <t>KZ EDX Lite Clear | Mic | Type C</t>
  </si>
  <si>
    <t>KZ EDX Lite Gray| No Mic | Type C</t>
  </si>
  <si>
    <t>KZ EDX Pro X Black | Mic | Type C</t>
  </si>
  <si>
    <t>KZ EDX Pro X Clear | Mic | Type C</t>
  </si>
  <si>
    <t>KZ EDX Pro X Gray| Mic | Type C</t>
  </si>
  <si>
    <t>KZ EDX Pro X Cyan | Mic | Type C</t>
  </si>
  <si>
    <t>Attack Shark Mouse X11 | White</t>
  </si>
  <si>
    <t>Attack Shark Mouse X11 | Black</t>
  </si>
  <si>
    <t>Attack Shark Mouse X11 | Red</t>
  </si>
  <si>
    <t>KZ EDX Pro X Black | No Mic | Type C</t>
  </si>
  <si>
    <t>KZ EDX Pro X Blacx | No Mic | 3.5mm</t>
  </si>
  <si>
    <t>KZ Case Eva | Silver</t>
  </si>
  <si>
    <t>KZ Case Eva | Black</t>
  </si>
  <si>
    <t xml:space="preserve">KZ Case Square </t>
  </si>
  <si>
    <t xml:space="preserve">KZ case Oval </t>
  </si>
  <si>
    <t>LT3</t>
  </si>
  <si>
    <t>Attack Shark X3 | White</t>
  </si>
  <si>
    <t>Attack Shark X3 | Black</t>
  </si>
  <si>
    <t>Attack Shark X6 | Black with Base</t>
  </si>
  <si>
    <t>Attack Shark X6 | White with Base</t>
  </si>
  <si>
    <t>Attack Shark Keyboard R85 HE | White</t>
  </si>
  <si>
    <t>Attack Shark Keyboard R85 HE | Green</t>
  </si>
  <si>
    <t>Attack Shark Keyboard R85 HE | Moonlit night</t>
  </si>
  <si>
    <t>IN1</t>
  </si>
  <si>
    <t>IN2</t>
  </si>
  <si>
    <t>IN3</t>
  </si>
  <si>
    <t>IN4</t>
  </si>
  <si>
    <t xml:space="preserve">KZ Castor Harman| Mic </t>
  </si>
  <si>
    <t>IN5</t>
  </si>
  <si>
    <t>EDX Ultra | Mic | Black</t>
  </si>
  <si>
    <t>EDX Pro | Mic | Black</t>
  </si>
  <si>
    <t>IN6</t>
  </si>
  <si>
    <t>IN7</t>
  </si>
  <si>
    <t>IN8</t>
  </si>
  <si>
    <t>IN9</t>
  </si>
  <si>
    <t>KZ Castor Pro Harman| Mic</t>
  </si>
  <si>
    <t xml:space="preserve">KZ Castor Pro Bass | Mic </t>
  </si>
  <si>
    <t>IN10</t>
  </si>
  <si>
    <t>IN11</t>
  </si>
  <si>
    <t>IN12</t>
  </si>
  <si>
    <t>IN13</t>
  </si>
  <si>
    <t>IN14</t>
  </si>
  <si>
    <t>IN15</t>
  </si>
  <si>
    <t>IN16</t>
  </si>
  <si>
    <t>Attack Shark X11 | White</t>
  </si>
  <si>
    <t>IN17</t>
  </si>
  <si>
    <t>IN18</t>
  </si>
  <si>
    <t>IN19</t>
  </si>
  <si>
    <t>IN20</t>
  </si>
  <si>
    <t>IN21</t>
  </si>
  <si>
    <t>IN22</t>
  </si>
  <si>
    <t>IN23</t>
  </si>
  <si>
    <t>IN24</t>
  </si>
  <si>
    <t>Headset Onikuma K19 | Gris</t>
  </si>
  <si>
    <t xml:space="preserve">Headset Onikuma X26 </t>
  </si>
  <si>
    <t>Mouse Attack Shark X8 | White</t>
  </si>
  <si>
    <t>Mouse Attack Shark G3 Pro | White</t>
  </si>
  <si>
    <t>LT6</t>
  </si>
  <si>
    <t>IN25</t>
  </si>
  <si>
    <t>IN26</t>
  </si>
  <si>
    <t>IN27</t>
  </si>
  <si>
    <t>IN28</t>
  </si>
  <si>
    <t>IN29</t>
  </si>
  <si>
    <t>IN30</t>
  </si>
  <si>
    <t>IN31</t>
  </si>
  <si>
    <t>IN32</t>
  </si>
  <si>
    <t>IN33</t>
  </si>
  <si>
    <t>IN34</t>
  </si>
  <si>
    <t>IN35</t>
  </si>
  <si>
    <t>IN36</t>
  </si>
  <si>
    <t>IN37</t>
  </si>
  <si>
    <t>LT4</t>
  </si>
  <si>
    <t>Ice Cooler</t>
  </si>
  <si>
    <t>LT5</t>
  </si>
  <si>
    <t>IN38</t>
  </si>
  <si>
    <t>IN39</t>
  </si>
  <si>
    <t>IN40</t>
  </si>
  <si>
    <t>IN41</t>
  </si>
  <si>
    <t>IN42</t>
  </si>
  <si>
    <t>IN43</t>
  </si>
  <si>
    <t>IN44</t>
  </si>
  <si>
    <t>IN45</t>
  </si>
  <si>
    <t>IN46</t>
  </si>
  <si>
    <t>IN47</t>
  </si>
  <si>
    <t>IN48</t>
  </si>
  <si>
    <t>IN49</t>
  </si>
  <si>
    <t>IN50</t>
  </si>
  <si>
    <t>IN51</t>
  </si>
  <si>
    <t>IN52</t>
  </si>
  <si>
    <t>IN53</t>
  </si>
  <si>
    <t>IN54</t>
  </si>
  <si>
    <t>Motorcycle carplay F92</t>
  </si>
  <si>
    <t>Motorcycle carplay F92 + DVR</t>
  </si>
  <si>
    <t>Motorcycle carplay M558 + DVR</t>
  </si>
  <si>
    <t xml:space="preserve">Motorcycle carplay M668 </t>
  </si>
  <si>
    <t xml:space="preserve">Motorcycle carplay M558 </t>
  </si>
  <si>
    <t>Motorcycle carplay M668 + DVR</t>
  </si>
  <si>
    <t>LT7</t>
  </si>
  <si>
    <t>IN55</t>
  </si>
  <si>
    <t>IN56</t>
  </si>
  <si>
    <t>IN57</t>
  </si>
  <si>
    <t>IN58</t>
  </si>
  <si>
    <t>IN59</t>
  </si>
  <si>
    <t>IN60</t>
  </si>
  <si>
    <t>IN61</t>
  </si>
  <si>
    <t>IN62</t>
  </si>
  <si>
    <t>IN63</t>
  </si>
  <si>
    <t>IN64</t>
  </si>
  <si>
    <t>IN65</t>
  </si>
  <si>
    <t>IN66</t>
  </si>
  <si>
    <t>IN67</t>
  </si>
  <si>
    <t>IN68</t>
  </si>
  <si>
    <t>IN69</t>
  </si>
  <si>
    <t>IN70</t>
  </si>
  <si>
    <t>IN71</t>
  </si>
  <si>
    <t>Aula F75 Pro Keyboard| Black Pink</t>
  </si>
  <si>
    <t>Aula F87 Pro Keyboard| Gradient Grey Black</t>
  </si>
  <si>
    <t>Aula F99 Pro Keyboard | Gradient Pink</t>
  </si>
  <si>
    <t>AJAZZ AJ179 Pro</t>
  </si>
  <si>
    <t>AJAZZ AJ159 Pro</t>
  </si>
  <si>
    <t>AJ159 APEX</t>
  </si>
  <si>
    <t>KZ ZS10 Pro X |Mic | 3.5mm</t>
  </si>
  <si>
    <t xml:space="preserve">KZ EDX Pro X | Mic | Type | black </t>
  </si>
  <si>
    <t>DAC adapter 3.5 mm to Type C</t>
  </si>
  <si>
    <t>KZ ZST X | Mic | 3.5mm | Cyan</t>
  </si>
  <si>
    <t>KZ ZST X | Mic | 3.5 mm | Colorful</t>
  </si>
  <si>
    <t>IN72</t>
  </si>
  <si>
    <t>IN73</t>
  </si>
  <si>
    <t>IN74</t>
  </si>
  <si>
    <t>IN75</t>
  </si>
  <si>
    <t>IN76</t>
  </si>
  <si>
    <t>IN77</t>
  </si>
  <si>
    <t>IN78</t>
  </si>
  <si>
    <t>IN79</t>
  </si>
  <si>
    <t>IN80</t>
  </si>
  <si>
    <t>IN81</t>
  </si>
  <si>
    <t>IN82</t>
  </si>
  <si>
    <t>IN83</t>
  </si>
  <si>
    <t>IN84</t>
  </si>
  <si>
    <t>IN99</t>
  </si>
  <si>
    <t>IN100</t>
  </si>
  <si>
    <t>IN101</t>
  </si>
  <si>
    <t>IN102</t>
  </si>
  <si>
    <t>IN103</t>
  </si>
  <si>
    <t>Attack Shark Headset|L30 pro | Black</t>
  </si>
  <si>
    <t>Attack Shark Keyboard K86 | Monnlight</t>
  </si>
  <si>
    <t>KZ ZVX | Mic | 3.5mm</t>
  </si>
  <si>
    <t>KZ ZVX | Mic | Type C</t>
  </si>
  <si>
    <t xml:space="preserve">KZ Krilla | Mic |3.5mm </t>
  </si>
  <si>
    <t>KZ Krilla | Mic |Type C</t>
  </si>
  <si>
    <t>IN108</t>
  </si>
  <si>
    <t>IN109</t>
  </si>
  <si>
    <t>IN110</t>
  </si>
  <si>
    <t>IN111</t>
  </si>
  <si>
    <t>Estado</t>
  </si>
  <si>
    <t>Entradas</t>
  </si>
  <si>
    <t xml:space="preserve">Costo unit. </t>
  </si>
  <si>
    <t xml:space="preserve">Costo real </t>
  </si>
  <si>
    <t>Salidas</t>
  </si>
  <si>
    <t>Envio unit.</t>
  </si>
  <si>
    <t>Ganacia unit.</t>
  </si>
  <si>
    <t xml:space="preserve">Codigo </t>
  </si>
  <si>
    <t>Recibido</t>
  </si>
  <si>
    <t xml:space="preserve">Stock </t>
  </si>
  <si>
    <t xml:space="preserve">Costo unitario </t>
  </si>
  <si>
    <t>Precio de venta (C$)</t>
  </si>
  <si>
    <t>Costo real (C$)</t>
  </si>
  <si>
    <t xml:space="preserve">Costo Real </t>
  </si>
  <si>
    <t>3+ Und</t>
  </si>
  <si>
    <t>6+ Und</t>
  </si>
  <si>
    <t>12+ Und</t>
  </si>
  <si>
    <t>Ganancia unit por 3+</t>
  </si>
  <si>
    <t>Ganancia unit por 6+</t>
  </si>
  <si>
    <t>Ganancia unit por 12+</t>
  </si>
  <si>
    <t xml:space="preserve">Lunes </t>
  </si>
  <si>
    <t>Martes</t>
  </si>
  <si>
    <t>di</t>
  </si>
  <si>
    <t xml:space="preserve">Pre-Total </t>
  </si>
  <si>
    <t>LT8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</si>
</sst>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[$$-409]#,##0.00_);\([$$-409]#,##0.00\)"/>
    <numFmt numFmtId="165" formatCode="&quot;$&quot;#,##0.0000"/>
    <numFmt numFmtId="166" formatCode="&quot;C$&quot;#,##0.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7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7" fontId="0" fillId="0" borderId="0" xfId="0" applyNumberFormat="1" applyAlignment="1">
      <alignment horizontal="left"/>
    </xf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4" fontId="2" fillId="0" borderId="0" xfId="0" applyNumberFormat="1" applyFont="1"/>
  </cellXfs>
  <cellStyles count="2">
    <cellStyle name="Currency" xfId="1" builtinId="4"/>
    <cellStyle name="Normal" xfId="0" builtinId="0"/>
  </cellStyles>
  <dxfs count="42">
    <dxf>
      <numFmt numFmtId="166" formatCode="&quot;C$&quot;#,##0.00"/>
    </dxf>
    <dxf>
      <numFmt numFmtId="166" formatCode="&quot;C$&quot;#,##0.00"/>
    </dxf>
    <dxf>
      <numFmt numFmtId="0" formatCode="General"/>
    </dxf>
    <dxf>
      <numFmt numFmtId="166" formatCode="&quot;C$&quot;#,##0.00"/>
    </dxf>
    <dxf>
      <numFmt numFmtId="0" formatCode="General"/>
    </dxf>
    <dxf>
      <numFmt numFmtId="166" formatCode="&quot;C$&quot;#,##0.00"/>
    </dxf>
    <dxf>
      <numFmt numFmtId="166" formatCode="&quot;C$&quot;#,##0.00"/>
    </dxf>
    <dxf>
      <numFmt numFmtId="166" formatCode="&quot;C$&quot;#,##0.00"/>
    </dxf>
    <dxf>
      <numFmt numFmtId="166" formatCode="&quot;C$&quot;#,##0.00"/>
    </dxf>
    <dxf>
      <numFmt numFmtId="0" formatCode="General"/>
    </dxf>
    <dxf>
      <numFmt numFmtId="0" formatCode="General"/>
    </dxf>
    <dxf>
      <numFmt numFmtId="164" formatCode="[$$-409]#,##0.00_);\([$$-409]#,##0.00\)"/>
    </dxf>
    <dxf>
      <numFmt numFmtId="164" formatCode="[$$-409]#,##0.00_);\([$$-409]#,##0.00\)"/>
    </dxf>
    <dxf>
      <numFmt numFmtId="165" formatCode="&quot;$&quot;#,##0.0000"/>
    </dxf>
    <dxf>
      <numFmt numFmtId="165" formatCode="&quot;$&quot;#,##0.0000"/>
    </dxf>
    <dxf>
      <numFmt numFmtId="165" formatCode="&quot;$&quot;#,##0.0000"/>
    </dxf>
    <dxf>
      <numFmt numFmtId="164" formatCode="[$$-409]#,##0.00_);\([$$-409]#,##0.00\)"/>
    </dxf>
    <dxf>
      <numFmt numFmtId="165" formatCode="&quot;$&quot;#,##0.0000"/>
    </dxf>
    <dxf>
      <numFmt numFmtId="165" formatCode="&quot;$&quot;#,##0.0000"/>
    </dxf>
    <dxf>
      <numFmt numFmtId="11" formatCode="&quot;$&quot;#,##0.00_);\(&quot;$&quot;#,##0.00\)"/>
      <alignment horizontal="left" vertical="bottom" textRotation="0" wrapText="0" indent="0" justifyLastLine="0" shrinkToFit="0" readingOrder="0"/>
    </dxf>
    <dxf>
      <numFmt numFmtId="11" formatCode="&quot;$&quot;#,##0.00_);\(&quot;$&quot;#,##0.00\)"/>
      <alignment horizontal="left" vertical="bottom" textRotation="0" wrapText="0" indent="0" justifyLastLine="0" shrinkToFit="0" readingOrder="0"/>
    </dxf>
    <dxf>
      <numFmt numFmtId="11" formatCode="&quot;$&quot;#,##0.00_);\(&quot;$&quot;#,##0.00\)"/>
      <alignment horizontal="left" vertical="bottom" textRotation="0" wrapText="0" indent="0" justifyLastLine="0" shrinkToFit="0" readingOrder="0"/>
    </dxf>
    <dxf>
      <numFmt numFmtId="11" formatCode="&quot;$&quot;#,##0.00_);\(&quot;$&quot;#,##0.00\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6" formatCode="&quot;C$&quot;#,##0.00"/>
    </dxf>
    <dxf>
      <numFmt numFmtId="11" formatCode="&quot;$&quot;#,##0.00_);\(&quot;$&quot;#,##0.00\)"/>
    </dxf>
    <dxf>
      <numFmt numFmtId="11" formatCode="&quot;$&quot;#,##0.00_);\(&quot;$&quot;#,##0.00\)"/>
    </dxf>
    <dxf>
      <numFmt numFmtId="165" formatCode="&quot;$&quot;#,##0.0000"/>
    </dxf>
    <dxf>
      <numFmt numFmtId="11" formatCode="&quot;$&quot;#,##0.00_);\(&quot;$&quot;#,##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2DC525-5A6F-4435-98D2-7BE3ECA179D0}" name="Compras" displayName="Compras" ref="A1:K110" totalsRowCount="1">
  <autoFilter ref="A1:K109" xr:uid="{FA2DC525-5A6F-4435-98D2-7BE3ECA179D0}"/>
  <tableColumns count="11">
    <tableColumn id="1" xr3:uid="{3071B1ED-57CF-4A8A-B70D-29D379CDDAE8}" name="Lote" totalsRowLabel="Total" dataDxfId="32" totalsRowDxfId="31"/>
    <tableColumn id="11" xr3:uid="{3796AC6E-F218-4908-826D-D7FC48C2F19E}" name="Codigo" dataDxfId="30" totalsRowDxfId="29"/>
    <tableColumn id="2" xr3:uid="{4FDE2033-587F-4249-AE7E-87923A53999B}" name="Fecha" dataDxfId="28" totalsRowDxfId="27"/>
    <tableColumn id="8" xr3:uid="{45D26F54-DD12-4312-BD32-1854C0C32DEE}" name="Producto" dataDxfId="26" totalsRowDxfId="25"/>
    <tableColumn id="4" xr3:uid="{5F167A53-A699-48AD-B626-CE247FF1C8FA}" name="Cantidad " totalsRowFunction="sum" dataDxfId="24" totalsRowDxfId="23"/>
    <tableColumn id="5" xr3:uid="{DE5667E6-EB47-43BC-B57A-F9367D506F30}" name="Costo" dataDxfId="22" totalsRowDxfId="21"/>
    <tableColumn id="10" xr3:uid="{DD4BD12A-DB65-423B-8E38-FB0F9533C418}" name="Pre-Total " totalsRowFunction="sum" dataDxfId="20" totalsRowDxfId="19">
      <calculatedColumnFormula>IF(OR(Compras[[#This Row],[Cantidad ]]="",Compras[[#This Row],[Costo]]=""),"-",Compras[[#This Row],[Cantidad ]]*Compras[[#This Row],[Costo]])</calculatedColumnFormula>
    </tableColumn>
    <tableColumn id="6" xr3:uid="{2190AC6C-35A5-468A-9D3F-E181D9D981CC}" name="Impuesto" dataDxfId="18" totalsRowDxfId="17"/>
    <tableColumn id="7" xr3:uid="{5B06B1B6-BE72-4B79-9010-DA25A5419C7E}" name="Total" totalsRowFunction="sum" dataDxfId="16" totalsRowDxfId="15">
      <calculatedColumnFormula>IF(OR(Compras[[#This Row],[Pre-Total ]]="",Compras[[#This Row],[Impuesto]]=""),"-",Compras[[#This Row],[Pre-Total ]]+Compras[[#This Row],[Cantidad ]]*Compras[[#This Row],[Impuesto]])</calculatedColumnFormula>
    </tableColumn>
    <tableColumn id="13" xr3:uid="{07C57444-6124-463D-BE64-2DA2F26D0CFF}" name="Costo unitario " dataDxfId="14" totalsRowDxfId="13">
      <calculatedColumnFormula>Compras[[#This Row],[Total]]/Compras[[#This Row],[Cantidad ]]</calculatedColumnFormula>
    </tableColumn>
    <tableColumn id="3" xr3:uid="{A85BEC67-CEC4-4716-A2C5-5D7168E29833}" name="Estado" totalsRowFunction="sum" dataDxfId="12" totalsRowDxfId="11">
      <calculatedColumnFormula>IF(OR(Compras[[#This Row],[Pre-Total ]]="",Compras[[#This Row],[Impuesto]]=""),"-",Compras[[#This Row],[Pre-Total ]]+Compras[[#This Row],[Cantidad ]]*Compras[[#This Row],[Impuesto]])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ECB2-0C7E-451E-A150-04E1275D794B}" name="Stock" displayName="Stock" ref="A1:M38" totalsRowShown="0">
  <autoFilter ref="A1:M38" xr:uid="{7827ECB2-0C7E-451E-A150-04E1275D794B}"/>
  <tableColumns count="13">
    <tableColumn id="1" xr3:uid="{A9F70D00-CDB0-4CE0-B96D-68E26786DB6F}" name="Codigo "/>
    <tableColumn id="2" xr3:uid="{6587BC4C-FDB7-486A-9DF6-448AAF9209FD}" name="Lote" dataDxfId="41">
      <calculatedColumnFormula>IF(_xlfn.SINGLE(Compras[Estado])="Recibido",_xlfn.XLOOKUP(Stock[[#This Row],[Codigo ]],_xlfn.SINGLE(Compras[Codigo]),_xlfn.SINGLE(Compras[Lote]),"-"),"-")</calculatedColumnFormula>
    </tableColumn>
    <tableColumn id="13" xr3:uid="{552C7EF0-68EE-4583-9096-0B61287B3B8C}" name="Producto" dataDxfId="40">
      <calculatedColumnFormula>IF(_xlfn.SINGLE(Compras[Estado])="Recibido",_xlfn.XLOOKUP(Stock[[#This Row],[Codigo ]],_xlfn.SINGLE(Compras[Codigo]),_xlfn.SINGLE(Compras[Producto]),"-"),"-")</calculatedColumnFormula>
    </tableColumn>
    <tableColumn id="3" xr3:uid="{00EED595-24EE-4E78-BAF9-A30C807ABC61}" name="Entradas" dataDxfId="39">
      <calculatedColumnFormula>IF(_xlfn.SINGLE(Compras[Estado])="Recibido",_xlfn.XLOOKUP(Stock[[#This Row],[Codigo ]],_xlfn.SINGLE(Compras[Codigo]),_xlfn.SINGLE(Compras[[Cantidad ]]),"-"),"-")</calculatedColumnFormula>
    </tableColumn>
    <tableColumn id="4" xr3:uid="{23C97971-0293-4004-88B2-DD3DB0A86460}" name="Salidas"/>
    <tableColumn id="14" xr3:uid="{FA81FA39-043C-46F8-80A4-2DA7C9F25B1C}" name="Stock " dataDxfId="38">
      <calculatedColumnFormula>IF(Stock[[#This Row],[Salidas]]="",Stock[[#This Row],[Entradas]],Stock[[#This Row],[Entradas]]-Stock[[#This Row],[Salidas]])</calculatedColumnFormula>
    </tableColumn>
    <tableColumn id="6" xr3:uid="{4B6128F1-A959-46DE-86F3-2AF91FA11602}" name="Costo unit. " dataDxfId="37">
      <calculatedColumnFormula>IF(_xlfn.SINGLE(Compras[Estado])="Recibido",_xlfn.XLOOKUP(Stock[[#This Row],[Codigo ]],_xlfn.SINGLE(Compras[Codigo]),_xlfn.SINGLE(Compras[[Costo unitario ]]),"-"),"-")</calculatedColumnFormula>
    </tableColumn>
    <tableColumn id="7" xr3:uid="{9AB3513B-4394-46F4-A9DB-C0CA8C52B6C7}" name="Envio unit." dataDxfId="36"/>
    <tableColumn id="8" xr3:uid="{828BEA52-E865-4DA3-9683-335F7CBA93F1}" name="Costo real " dataDxfId="35">
      <calculatedColumnFormula>Stock[[#This Row],[Costo unit. ]]+Stock[[#This Row],[Envio unit.]]</calculatedColumnFormula>
    </tableColumn>
    <tableColumn id="17" xr3:uid="{80A7B712-466F-484B-8930-E96A2AD95EEB}" name="Costo real (C$)" dataDxfId="34">
      <calculatedColumnFormula>Stock[[#This Row],[Costo real ]]*37</calculatedColumnFormula>
    </tableColumn>
    <tableColumn id="15" xr3:uid="{A5B4A343-B5FA-4DA1-9358-3BFD3999003E}" name="Precio de venta (C$)" dataDxfId="0">
      <calculatedColumnFormula>J10</calculatedColumnFormula>
    </tableColumn>
    <tableColumn id="10" xr3:uid="{73D2A82F-EBB1-4637-ACD8-06B15FE1D496}" name="Ganacia unit." dataDxfId="33">
      <calculatedColumnFormula>Stock[[#This Row],[Precio de venta (C$)]]-Stock[[#This Row],[Costo real (C$)]]</calculatedColumnFormula>
    </tableColumn>
    <tableColumn id="11" xr3:uid="{AEB6C4C5-C925-43D0-AF08-7420C8EC38AE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88EDB9-1C41-4C8B-AC1B-884867E15E3F}" name="Table3" displayName="Table3" ref="A1:K39" totalsRowShown="0">
  <autoFilter ref="A1:K39" xr:uid="{1488EDB9-1C41-4C8B-AC1B-884867E15E3F}"/>
  <tableColumns count="11">
    <tableColumn id="1" xr3:uid="{7C92EC61-1223-4474-9D2A-1CB8C3E55D0C}" name="Codigo "/>
    <tableColumn id="2" xr3:uid="{422500C5-8DFC-41C7-A60C-595A43559C97}" name="Lote" dataDxfId="10">
      <calculatedColumnFormula>IF(_xlfn.SINGLE(Compras[Estado])="Recibido",_xlfn.XLOOKUP(Table3[[#This Row],[Codigo ]],_xlfn.SINGLE(Compras[Codigo]),_xlfn.SINGLE(Compras[Lote]),"-"),"-")</calculatedColumnFormula>
    </tableColumn>
    <tableColumn id="3" xr3:uid="{A92E7EE1-2252-4920-B6AC-9FFCFF2DDDF7}" name="Producto" dataDxfId="9">
      <calculatedColumnFormula>IF(_xlfn.SINGLE(Compras[Estado])="Recibido",_xlfn.XLOOKUP(Table3[[#This Row],[Codigo ]],_xlfn.SINGLE(Compras[Codigo]),_xlfn.SINGLE(Compras[Producto]),"-"),"-")</calculatedColumnFormula>
    </tableColumn>
    <tableColumn id="4" xr3:uid="{AC7512F1-E95A-49D3-9A74-69721F22BF32}" name="Costo Real " dataDxfId="8">
      <calculatedColumnFormula>IF(Table3[[#This Row],[Producto]]="","-",_xlfn.XLOOKUP(Table3[[#This Row],[Codigo ]],_xlfn.SINGLE(Stock[[Codigo ]]),_xlfn.SINGLE(Stock[Costo real (C$)]),"-"))</calculatedColumnFormula>
    </tableColumn>
    <tableColumn id="5" xr3:uid="{BEEB5843-F06B-46F6-81CA-D2D5456B38A2}" name="Precio de venta (C$)" dataDxfId="7">
      <calculatedColumnFormula>IF(Table3[[#This Row],[Producto]]="","-",_xlfn.XLOOKUP(Table3[[#This Row],[Codigo ]],_xlfn.SINGLE(Stock[[Codigo ]]),_xlfn.SINGLE(Stock[Precio de venta (C$)]),"-"))</calculatedColumnFormula>
    </tableColumn>
    <tableColumn id="6" xr3:uid="{F624BEFC-BEFE-4512-AC67-E281AD2609BC}" name="3+ Und" dataDxfId="6">
      <calculatedColumnFormula>0.9*Table3[[#This Row],[Precio de venta (C$)]]</calculatedColumnFormula>
    </tableColumn>
    <tableColumn id="9" xr3:uid="{4228DB3E-0988-4BA0-AAB0-0C0248FD74F9}" name="Ganancia unit por 3+" dataDxfId="5">
      <calculatedColumnFormula>Table3[[#This Row],[3+ Und]]-Table3[[#This Row],[Costo Real ]]</calculatedColumnFormula>
    </tableColumn>
    <tableColumn id="7" xr3:uid="{0036E136-6BB9-43AB-A745-E16B1F080F68}" name="6+ Und" dataDxfId="4">
      <calculatedColumnFormula>0.85*Table3[[#This Row],[Precio de venta (C$)]]</calculatedColumnFormula>
    </tableColumn>
    <tableColumn id="10" xr3:uid="{F972720B-3813-4971-983E-18E7C990B6B5}" name="Ganancia unit por 6+" dataDxfId="3">
      <calculatedColumnFormula>Table3[[#This Row],[6+ Und]]-Table3[[#This Row],[Costo Real ]]</calculatedColumnFormula>
    </tableColumn>
    <tableColumn id="11" xr3:uid="{2C580B0D-16C5-4534-817F-2771E48D80DD}" name="12+ Und" dataDxfId="2">
      <calculatedColumnFormula>0.8*Table3[[#This Row],[Precio de venta (C$)]]</calculatedColumnFormula>
    </tableColumn>
    <tableColumn id="8" xr3:uid="{A5F1B0D1-3B49-4113-8FD7-FCFBB9CD19A8}" name="Ganancia unit por 12+" dataDxfId="1">
      <calculatedColumnFormula>Table3[[#This Row],[12+ Und]]-Table3[[#This Row],[Costo Real 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113"/>
  <sheetViews>
    <sheetView workbookViewId="0">
      <selection activeCell="E1" sqref="E1:E1048576"/>
    </sheetView>
  </sheetViews>
  <sheetFormatPr defaultRowHeight="15" x14ac:dyDescent="0.25"/>
  <cols>
    <col min="1" max="1" width="7.85546875" customWidth="1"/>
    <col min="2" max="2" width="13" style="1" customWidth="1"/>
    <col min="3" max="3" width="29.42578125" style="1" bestFit="1" customWidth="1"/>
    <col min="4" max="4" width="44.42578125" customWidth="1"/>
    <col min="5" max="6" width="15" style="2" customWidth="1"/>
    <col min="7" max="7" width="17" customWidth="1"/>
    <col min="8" max="8" width="27.85546875" style="9" customWidth="1"/>
    <col min="9" max="9" width="12.140625" style="9" bestFit="1" customWidth="1"/>
    <col min="10" max="10" width="16.28515625" style="9" bestFit="1" customWidth="1"/>
    <col min="11" max="11" width="27.85546875" customWidth="1"/>
    <col min="12" max="12" width="40.28515625" bestFit="1" customWidth="1"/>
  </cols>
  <sheetData>
    <row r="1" spans="1:11" x14ac:dyDescent="0.25">
      <c r="A1" s="3" t="s">
        <v>5</v>
      </c>
      <c r="B1" s="3" t="s">
        <v>23</v>
      </c>
      <c r="C1" s="4" t="s">
        <v>0</v>
      </c>
      <c r="D1" s="4" t="s">
        <v>1</v>
      </c>
      <c r="E1" s="3" t="s">
        <v>2</v>
      </c>
      <c r="F1" s="5" t="s">
        <v>3</v>
      </c>
      <c r="G1" s="5" t="s">
        <v>228</v>
      </c>
      <c r="H1" s="9" t="s">
        <v>4</v>
      </c>
      <c r="I1" s="9" t="s">
        <v>7</v>
      </c>
      <c r="J1" s="9" t="s">
        <v>215</v>
      </c>
      <c r="K1" t="s">
        <v>205</v>
      </c>
    </row>
    <row r="2" spans="1:11" x14ac:dyDescent="0.25">
      <c r="A2" s="3" t="s">
        <v>6</v>
      </c>
      <c r="B2" s="3" t="s">
        <v>74</v>
      </c>
      <c r="C2" s="4">
        <v>46140</v>
      </c>
      <c r="D2" s="4" t="s">
        <v>11</v>
      </c>
      <c r="E2" s="3">
        <v>5</v>
      </c>
      <c r="F2" s="5">
        <v>4.6100000000000003</v>
      </c>
      <c r="G2" s="5">
        <f>IF(OR(Compras[[#This Row],[Cantidad ]]="",Compras[[#This Row],[Costo]]=""),"-",Compras[[#This Row],[Cantidad ]]*Compras[[#This Row],[Costo]])</f>
        <v>23.05</v>
      </c>
      <c r="H2" s="10">
        <v>0.20680000000000001</v>
      </c>
      <c r="I2" s="10">
        <f>IF(OR(Compras[[#This Row],[Pre-Total ]]="",Compras[[#This Row],[Impuesto]]=""),"-",Compras[[#This Row],[Pre-Total ]]+Compras[[#This Row],[Cantidad ]]*Compras[[#This Row],[Impuesto]])</f>
        <v>24.084</v>
      </c>
      <c r="J2" s="10">
        <f>Compras[[#This Row],[Total]]/Compras[[#This Row],[Cantidad ]]</f>
        <v>4.8167999999999997</v>
      </c>
      <c r="K2" s="8" t="s">
        <v>213</v>
      </c>
    </row>
    <row r="3" spans="1:11" x14ac:dyDescent="0.25">
      <c r="A3" s="3" t="s">
        <v>6</v>
      </c>
      <c r="B3" s="3" t="s">
        <v>75</v>
      </c>
      <c r="C3" s="4">
        <v>46140</v>
      </c>
      <c r="D3" s="4" t="s">
        <v>81</v>
      </c>
      <c r="E3" s="3">
        <v>15</v>
      </c>
      <c r="F3" s="5">
        <v>4.6100000000000003</v>
      </c>
      <c r="G3" s="5">
        <f>IF(OR(Compras[[#This Row],[Cantidad ]]="",Compras[[#This Row],[Costo]]=""),"-",Compras[[#This Row],[Cantidad ]]*Compras[[#This Row],[Costo]])</f>
        <v>69.150000000000006</v>
      </c>
      <c r="H3" s="10">
        <v>0.20680000000000001</v>
      </c>
      <c r="I3" s="10">
        <f>IF(OR(Compras[[#This Row],[Pre-Total ]]="",Compras[[#This Row],[Impuesto]]=""),"-",Compras[[#This Row],[Pre-Total ]]+Compras[[#This Row],[Cantidad ]]*Compras[[#This Row],[Impuesto]])</f>
        <v>72.25200000000001</v>
      </c>
      <c r="J3" s="10">
        <f>Compras[[#This Row],[Total]]/Compras[[#This Row],[Cantidad ]]</f>
        <v>4.8168000000000006</v>
      </c>
      <c r="K3" s="8" t="s">
        <v>213</v>
      </c>
    </row>
    <row r="4" spans="1:11" x14ac:dyDescent="0.25">
      <c r="A4" s="3" t="s">
        <v>6</v>
      </c>
      <c r="B4" s="3" t="s">
        <v>76</v>
      </c>
      <c r="C4" s="4">
        <v>46140</v>
      </c>
      <c r="D4" s="4" t="s">
        <v>46</v>
      </c>
      <c r="E4" s="3">
        <v>15</v>
      </c>
      <c r="F4" s="5">
        <v>13.5</v>
      </c>
      <c r="G4" s="5">
        <f>IF(OR(Compras[[#This Row],[Cantidad ]]="",Compras[[#This Row],[Costo]]=""),"-",Compras[[#This Row],[Cantidad ]]*Compras[[#This Row],[Costo]])</f>
        <v>202.5</v>
      </c>
      <c r="H4" s="10">
        <v>0.20680000000000001</v>
      </c>
      <c r="I4" s="10">
        <f>IF(OR(Compras[[#This Row],[Pre-Total ]]="",Compras[[#This Row],[Impuesto]]=""),"-",Compras[[#This Row],[Pre-Total ]]+Compras[[#This Row],[Cantidad ]]*Compras[[#This Row],[Impuesto]])</f>
        <v>205.602</v>
      </c>
      <c r="J4" s="10">
        <f>Compras[[#This Row],[Total]]/Compras[[#This Row],[Cantidad ]]</f>
        <v>13.706799999999999</v>
      </c>
      <c r="K4" s="8" t="s">
        <v>213</v>
      </c>
    </row>
    <row r="5" spans="1:11" x14ac:dyDescent="0.25">
      <c r="A5" s="3" t="s">
        <v>6</v>
      </c>
      <c r="B5" s="3" t="s">
        <v>77</v>
      </c>
      <c r="C5" s="4">
        <v>46140</v>
      </c>
      <c r="D5" s="4" t="s">
        <v>78</v>
      </c>
      <c r="E5" s="3">
        <v>10</v>
      </c>
      <c r="F5" s="5">
        <v>7.78</v>
      </c>
      <c r="G5" s="5">
        <f>IF(OR(Compras[[#This Row],[Cantidad ]]="",Compras[[#This Row],[Costo]]=""),"-",Compras[[#This Row],[Cantidad ]]*Compras[[#This Row],[Costo]])</f>
        <v>77.8</v>
      </c>
      <c r="H5" s="10">
        <v>0.20680000000000001</v>
      </c>
      <c r="I5" s="10">
        <f>IF(OR(Compras[[#This Row],[Pre-Total ]]="",Compras[[#This Row],[Impuesto]]=""),"-",Compras[[#This Row],[Pre-Total ]]+Compras[[#This Row],[Cantidad ]]*Compras[[#This Row],[Impuesto]])</f>
        <v>79.867999999999995</v>
      </c>
      <c r="J5" s="10">
        <f>Compras[[#This Row],[Total]]/Compras[[#This Row],[Cantidad ]]</f>
        <v>7.9867999999999997</v>
      </c>
      <c r="K5" s="8" t="s">
        <v>213</v>
      </c>
    </row>
    <row r="6" spans="1:11" x14ac:dyDescent="0.25">
      <c r="A6" s="3" t="s">
        <v>6</v>
      </c>
      <c r="B6" s="3" t="s">
        <v>79</v>
      </c>
      <c r="C6" s="4">
        <v>46140</v>
      </c>
      <c r="D6" s="4" t="s">
        <v>80</v>
      </c>
      <c r="E6" s="3">
        <v>10</v>
      </c>
      <c r="F6" s="5">
        <v>6.35</v>
      </c>
      <c r="G6" s="5">
        <f>IF(OR(Compras[[#This Row],[Cantidad ]]="",Compras[[#This Row],[Costo]]=""),"-",Compras[[#This Row],[Cantidad ]]*Compras[[#This Row],[Costo]])</f>
        <v>63.5</v>
      </c>
      <c r="H6" s="10">
        <v>0.20680000000000001</v>
      </c>
      <c r="I6" s="10">
        <f>IF(OR(Compras[[#This Row],[Pre-Total ]]="",Compras[[#This Row],[Impuesto]]=""),"-",Compras[[#This Row],[Pre-Total ]]+Compras[[#This Row],[Cantidad ]]*Compras[[#This Row],[Impuesto]])</f>
        <v>65.567999999999998</v>
      </c>
      <c r="J6" s="10">
        <f>Compras[[#This Row],[Total]]/Compras[[#This Row],[Cantidad ]]</f>
        <v>6.5568</v>
      </c>
      <c r="K6" s="8" t="s">
        <v>213</v>
      </c>
    </row>
    <row r="7" spans="1:11" x14ac:dyDescent="0.25">
      <c r="A7" s="3" t="s">
        <v>6</v>
      </c>
      <c r="B7" s="3" t="s">
        <v>82</v>
      </c>
      <c r="C7" s="4">
        <v>46140</v>
      </c>
      <c r="D7" s="4" t="s">
        <v>80</v>
      </c>
      <c r="E7" s="3">
        <v>10</v>
      </c>
      <c r="F7" s="5">
        <v>6.35</v>
      </c>
      <c r="G7" s="5">
        <f>IF(OR(Compras[[#This Row],[Cantidad ]]="",Compras[[#This Row],[Costo]]=""),"-",Compras[[#This Row],[Cantidad ]]*Compras[[#This Row],[Costo]])</f>
        <v>63.5</v>
      </c>
      <c r="H7" s="10">
        <v>0.20680000000000001</v>
      </c>
      <c r="I7" s="10">
        <f>IF(OR(Compras[[#This Row],[Pre-Total ]]="",Compras[[#This Row],[Impuesto]]=""),"-",Compras[[#This Row],[Pre-Total ]]+Compras[[#This Row],[Cantidad ]]*Compras[[#This Row],[Impuesto]])</f>
        <v>65.567999999999998</v>
      </c>
      <c r="J7" s="10">
        <f>Compras[[#This Row],[Total]]/Compras[[#This Row],[Cantidad ]]</f>
        <v>6.5568</v>
      </c>
      <c r="K7" s="8" t="s">
        <v>213</v>
      </c>
    </row>
    <row r="8" spans="1:11" x14ac:dyDescent="0.25">
      <c r="A8" s="3" t="s">
        <v>6</v>
      </c>
      <c r="B8" s="3" t="s">
        <v>83</v>
      </c>
      <c r="C8" s="4">
        <v>46140</v>
      </c>
      <c r="D8" s="4" t="s">
        <v>15</v>
      </c>
      <c r="E8" s="3">
        <v>20</v>
      </c>
      <c r="F8" s="5">
        <v>9.3699999999999992</v>
      </c>
      <c r="G8" s="5">
        <f>IF(OR(Compras[[#This Row],[Cantidad ]]="",Compras[[#This Row],[Costo]]=""),"-",Compras[[#This Row],[Cantidad ]]*Compras[[#This Row],[Costo]])</f>
        <v>187.39999999999998</v>
      </c>
      <c r="H8" s="10">
        <v>0.20680000000000001</v>
      </c>
      <c r="I8" s="10">
        <f>IF(OR(Compras[[#This Row],[Pre-Total ]]="",Compras[[#This Row],[Impuesto]]=""),"-",Compras[[#This Row],[Pre-Total ]]+Compras[[#This Row],[Cantidad ]]*Compras[[#This Row],[Impuesto]])</f>
        <v>191.53599999999997</v>
      </c>
      <c r="J8" s="10">
        <f>Compras[[#This Row],[Total]]/Compras[[#This Row],[Cantidad ]]</f>
        <v>9.5767999999999986</v>
      </c>
      <c r="K8" s="8" t="s">
        <v>213</v>
      </c>
    </row>
    <row r="9" spans="1:11" x14ac:dyDescent="0.25">
      <c r="A9" s="3" t="s">
        <v>6</v>
      </c>
      <c r="B9" s="3" t="s">
        <v>84</v>
      </c>
      <c r="C9" s="4">
        <v>46140</v>
      </c>
      <c r="D9" s="4" t="s">
        <v>46</v>
      </c>
      <c r="E9" s="3">
        <v>15</v>
      </c>
      <c r="F9" s="5">
        <v>13.5</v>
      </c>
      <c r="G9" s="5">
        <f>IF(OR(Compras[[#This Row],[Cantidad ]]="",Compras[[#This Row],[Costo]]=""),"-",Compras[[#This Row],[Cantidad ]]*Compras[[#This Row],[Costo]])</f>
        <v>202.5</v>
      </c>
      <c r="H9" s="10">
        <v>0.20680000000000001</v>
      </c>
      <c r="I9" s="10">
        <f>IF(OR(Compras[[#This Row],[Pre-Total ]]="",Compras[[#This Row],[Impuesto]]=""),"-",Compras[[#This Row],[Pre-Total ]]+Compras[[#This Row],[Cantidad ]]*Compras[[#This Row],[Impuesto]])</f>
        <v>205.602</v>
      </c>
      <c r="J9" s="10">
        <f>Compras[[#This Row],[Total]]/Compras[[#This Row],[Cantidad ]]</f>
        <v>13.706799999999999</v>
      </c>
      <c r="K9" s="8" t="s">
        <v>213</v>
      </c>
    </row>
    <row r="10" spans="1:11" x14ac:dyDescent="0.25">
      <c r="A10" s="3" t="s">
        <v>6</v>
      </c>
      <c r="B10" s="3" t="s">
        <v>85</v>
      </c>
      <c r="C10" s="4">
        <v>46140</v>
      </c>
      <c r="D10" s="4" t="s">
        <v>15</v>
      </c>
      <c r="E10" s="3">
        <v>20</v>
      </c>
      <c r="F10" s="5">
        <v>9.3699999999999992</v>
      </c>
      <c r="G10" s="5">
        <f>IF(OR(Compras[[#This Row],[Cantidad ]]="",Compras[[#This Row],[Costo]]=""),"-",Compras[[#This Row],[Cantidad ]]*Compras[[#This Row],[Costo]])</f>
        <v>187.39999999999998</v>
      </c>
      <c r="H10" s="10">
        <v>0.20680000000000001</v>
      </c>
      <c r="I10" s="10">
        <f>IF(OR(Compras[[#This Row],[Pre-Total ]]="",Compras[[#This Row],[Impuesto]]=""),"-",Compras[[#This Row],[Pre-Total ]]+Compras[[#This Row],[Cantidad ]]*Compras[[#This Row],[Impuesto]])</f>
        <v>191.53599999999997</v>
      </c>
      <c r="J10" s="10">
        <f>Compras[[#This Row],[Total]]/Compras[[#This Row],[Cantidad ]]</f>
        <v>9.5767999999999986</v>
      </c>
      <c r="K10" s="8" t="s">
        <v>213</v>
      </c>
    </row>
    <row r="11" spans="1:11" x14ac:dyDescent="0.25">
      <c r="A11" s="3" t="s">
        <v>6</v>
      </c>
      <c r="B11" s="3" t="s">
        <v>88</v>
      </c>
      <c r="C11" s="4">
        <v>46140</v>
      </c>
      <c r="D11" s="4" t="s">
        <v>13</v>
      </c>
      <c r="E11" s="3">
        <v>20</v>
      </c>
      <c r="F11" s="5">
        <v>4.53</v>
      </c>
      <c r="G11" s="5">
        <f>IF(OR(Compras[[#This Row],[Cantidad ]]="",Compras[[#This Row],[Costo]]=""),"-",Compras[[#This Row],[Cantidad ]]*Compras[[#This Row],[Costo]])</f>
        <v>90.600000000000009</v>
      </c>
      <c r="H11" s="10">
        <v>0.20680000000000001</v>
      </c>
      <c r="I11" s="10">
        <f>IF(OR(Compras[[#This Row],[Pre-Total ]]="",Compras[[#This Row],[Impuesto]]=""),"-",Compras[[#This Row],[Pre-Total ]]+Compras[[#This Row],[Cantidad ]]*Compras[[#This Row],[Impuesto]])</f>
        <v>94.736000000000004</v>
      </c>
      <c r="J11" s="10">
        <f>Compras[[#This Row],[Total]]/Compras[[#This Row],[Cantidad ]]</f>
        <v>4.7368000000000006</v>
      </c>
      <c r="K11" s="8" t="s">
        <v>213</v>
      </c>
    </row>
    <row r="12" spans="1:11" x14ac:dyDescent="0.25">
      <c r="A12" s="3" t="s">
        <v>6</v>
      </c>
      <c r="B12" s="3" t="s">
        <v>89</v>
      </c>
      <c r="C12" s="4">
        <v>46140</v>
      </c>
      <c r="D12" s="4" t="s">
        <v>87</v>
      </c>
      <c r="E12" s="3">
        <v>40</v>
      </c>
      <c r="F12" s="5">
        <v>11.12</v>
      </c>
      <c r="G12" s="5">
        <f>IF(OR(Compras[[#This Row],[Cantidad ]]="",Compras[[#This Row],[Costo]]=""),"-",Compras[[#This Row],[Cantidad ]]*Compras[[#This Row],[Costo]])</f>
        <v>444.79999999999995</v>
      </c>
      <c r="H12" s="10">
        <v>0.20680000000000001</v>
      </c>
      <c r="I12" s="10">
        <f>IF(OR(Compras[[#This Row],[Pre-Total ]]="",Compras[[#This Row],[Impuesto]]=""),"-",Compras[[#This Row],[Pre-Total ]]+Compras[[#This Row],[Cantidad ]]*Compras[[#This Row],[Impuesto]])</f>
        <v>453.07199999999995</v>
      </c>
      <c r="J12" s="10">
        <f>Compras[[#This Row],[Total]]/Compras[[#This Row],[Cantidad ]]</f>
        <v>11.326799999999999</v>
      </c>
      <c r="K12" s="8" t="s">
        <v>213</v>
      </c>
    </row>
    <row r="13" spans="1:11" x14ac:dyDescent="0.25">
      <c r="A13" s="3" t="s">
        <v>6</v>
      </c>
      <c r="B13" s="3" t="s">
        <v>90</v>
      </c>
      <c r="C13" s="4">
        <v>46140</v>
      </c>
      <c r="D13" s="4" t="s">
        <v>86</v>
      </c>
      <c r="E13" s="3">
        <v>10</v>
      </c>
      <c r="F13" s="5">
        <v>9.5299999999999994</v>
      </c>
      <c r="G13" s="5">
        <f>IF(OR(Compras[[#This Row],[Cantidad ]]="",Compras[[#This Row],[Costo]]=""),"-",Compras[[#This Row],[Cantidad ]]*Compras[[#This Row],[Costo]])</f>
        <v>95.3</v>
      </c>
      <c r="H13" s="10">
        <v>0.20680000000000001</v>
      </c>
      <c r="I13" s="7">
        <f>IF(OR(Compras[[#This Row],[Pre-Total ]]="",Compras[[#This Row],[Impuesto]]=""),"-",Compras[[#This Row],[Pre-Total ]]+Compras[[#This Row],[Cantidad ]]*Compras[[#This Row],[Impuesto]])</f>
        <v>97.367999999999995</v>
      </c>
      <c r="J13" s="7">
        <f>Compras[[#This Row],[Total]]/Compras[[#This Row],[Cantidad ]]</f>
        <v>9.7367999999999988</v>
      </c>
      <c r="K13" s="8" t="s">
        <v>213</v>
      </c>
    </row>
    <row r="14" spans="1:11" x14ac:dyDescent="0.25">
      <c r="A14" s="3" t="s">
        <v>6</v>
      </c>
      <c r="B14" s="3" t="s">
        <v>91</v>
      </c>
      <c r="C14" s="4">
        <v>46140</v>
      </c>
      <c r="D14" s="4" t="s">
        <v>10</v>
      </c>
      <c r="E14" s="3">
        <v>5</v>
      </c>
      <c r="F14" s="5">
        <v>4.6100000000000003</v>
      </c>
      <c r="G14" s="5">
        <f>IF(OR(Compras[[#This Row],[Cantidad ]]="",Compras[[#This Row],[Costo]]=""),"-",Compras[[#This Row],[Cantidad ]]*Compras[[#This Row],[Costo]])</f>
        <v>23.05</v>
      </c>
      <c r="H14" s="10">
        <v>0.20680000000000001</v>
      </c>
      <c r="I14" s="7">
        <f>IF(OR(Compras[[#This Row],[Pre-Total ]]="",Compras[[#This Row],[Impuesto]]=""),"-",Compras[[#This Row],[Pre-Total ]]+Compras[[#This Row],[Cantidad ]]*Compras[[#This Row],[Impuesto]])</f>
        <v>24.084</v>
      </c>
      <c r="J14" s="7">
        <f>Compras[[#This Row],[Total]]/Compras[[#This Row],[Cantidad ]]</f>
        <v>4.8167999999999997</v>
      </c>
      <c r="K14" s="8" t="s">
        <v>213</v>
      </c>
    </row>
    <row r="15" spans="1:11" x14ac:dyDescent="0.25">
      <c r="A15" s="3" t="s">
        <v>6</v>
      </c>
      <c r="B15" s="3" t="s">
        <v>92</v>
      </c>
      <c r="C15" s="4">
        <v>46140</v>
      </c>
      <c r="D15" s="4" t="s">
        <v>12</v>
      </c>
      <c r="E15" s="3">
        <v>120</v>
      </c>
      <c r="F15" s="5">
        <v>4.53</v>
      </c>
      <c r="G15" s="5">
        <f>IF(OR(Compras[[#This Row],[Cantidad ]]="",Compras[[#This Row],[Costo]]=""),"-",Compras[[#This Row],[Cantidad ]]*Compras[[#This Row],[Costo]])</f>
        <v>543.6</v>
      </c>
      <c r="H15" s="10">
        <v>0.20680000000000001</v>
      </c>
      <c r="I15" s="7">
        <f>IF(OR(Compras[[#This Row],[Pre-Total ]]="",Compras[[#This Row],[Impuesto]]=""),"-",Compras[[#This Row],[Pre-Total ]]+Compras[[#This Row],[Cantidad ]]*Compras[[#This Row],[Impuesto]])</f>
        <v>568.41600000000005</v>
      </c>
      <c r="J15" s="7">
        <f>Compras[[#This Row],[Total]]/Compras[[#This Row],[Cantidad ]]</f>
        <v>4.7368000000000006</v>
      </c>
      <c r="K15" s="8" t="s">
        <v>213</v>
      </c>
    </row>
    <row r="16" spans="1:11" x14ac:dyDescent="0.25">
      <c r="A16" s="3" t="s">
        <v>6</v>
      </c>
      <c r="B16" s="3" t="s">
        <v>93</v>
      </c>
      <c r="C16" s="4">
        <v>46140</v>
      </c>
      <c r="D16" s="4" t="s">
        <v>13</v>
      </c>
      <c r="E16" s="3">
        <v>20</v>
      </c>
      <c r="F16" s="5">
        <v>4.53</v>
      </c>
      <c r="G16" s="5">
        <f>IF(OR(Compras[[#This Row],[Cantidad ]]="",Compras[[#This Row],[Costo]]=""),"-",Compras[[#This Row],[Cantidad ]]*Compras[[#This Row],[Costo]])</f>
        <v>90.600000000000009</v>
      </c>
      <c r="H16" s="10">
        <v>0.20680000000000001</v>
      </c>
      <c r="I16" s="7">
        <f>IF(OR(Compras[[#This Row],[Pre-Total ]]="",Compras[[#This Row],[Impuesto]]=""),"-",Compras[[#This Row],[Pre-Total ]]+Compras[[#This Row],[Cantidad ]]*Compras[[#This Row],[Impuesto]])</f>
        <v>94.736000000000004</v>
      </c>
      <c r="J16" s="7">
        <f>Compras[[#This Row],[Total]]/Compras[[#This Row],[Cantidad ]]</f>
        <v>4.7368000000000006</v>
      </c>
      <c r="K16" s="8" t="s">
        <v>213</v>
      </c>
    </row>
    <row r="17" spans="1:11" x14ac:dyDescent="0.25">
      <c r="A17" s="3" t="s">
        <v>6</v>
      </c>
      <c r="B17" s="3" t="s">
        <v>94</v>
      </c>
      <c r="C17" s="4">
        <v>46140</v>
      </c>
      <c r="D17" s="4" t="s">
        <v>14</v>
      </c>
      <c r="E17" s="3">
        <v>20</v>
      </c>
      <c r="F17" s="5">
        <v>4.53</v>
      </c>
      <c r="G17" s="5">
        <f>IF(OR(Compras[[#This Row],[Cantidad ]]="",Compras[[#This Row],[Costo]]=""),"-",Compras[[#This Row],[Cantidad ]]*Compras[[#This Row],[Costo]])</f>
        <v>90.600000000000009</v>
      </c>
      <c r="H17" s="10">
        <v>0.20680000000000001</v>
      </c>
      <c r="I17" s="7">
        <f>IF(OR(Compras[[#This Row],[Pre-Total ]]="",Compras[[#This Row],[Impuesto]]=""),"-",Compras[[#This Row],[Pre-Total ]]+Compras[[#This Row],[Cantidad ]]*Compras[[#This Row],[Impuesto]])</f>
        <v>94.736000000000004</v>
      </c>
      <c r="J17" s="7">
        <f>Compras[[#This Row],[Total]]/Compras[[#This Row],[Cantidad ]]</f>
        <v>4.7368000000000006</v>
      </c>
      <c r="K17" s="8" t="s">
        <v>213</v>
      </c>
    </row>
    <row r="18" spans="1:11" x14ac:dyDescent="0.25">
      <c r="A18" s="3" t="s">
        <v>24</v>
      </c>
      <c r="B18" s="3" t="s">
        <v>96</v>
      </c>
      <c r="C18" s="4">
        <v>46140</v>
      </c>
      <c r="D18" s="4" t="s">
        <v>8</v>
      </c>
      <c r="E18" s="3">
        <v>5</v>
      </c>
      <c r="F18" s="5">
        <v>19.05</v>
      </c>
      <c r="G18" s="5">
        <f>IF(OR(Compras[[#This Row],[Cantidad ]]="",Compras[[#This Row],[Costo]]=""),"-",Compras[[#This Row],[Cantidad ]]*Compras[[#This Row],[Costo]])</f>
        <v>95.25</v>
      </c>
      <c r="H18" s="9">
        <v>0.30609999999999998</v>
      </c>
      <c r="I18" s="7">
        <f>IF(OR(Compras[[#This Row],[Pre-Total ]]="",Compras[[#This Row],[Impuesto]]=""),"-",Compras[[#This Row],[Pre-Total ]]+Compras[[#This Row],[Cantidad ]]*Compras[[#This Row],[Impuesto]])</f>
        <v>96.780500000000004</v>
      </c>
      <c r="J18" s="7">
        <f>Compras[[#This Row],[Total]]/Compras[[#This Row],[Cantidad ]]</f>
        <v>19.356100000000001</v>
      </c>
      <c r="K18" s="8" t="s">
        <v>213</v>
      </c>
    </row>
    <row r="19" spans="1:11" x14ac:dyDescent="0.25">
      <c r="A19" s="3" t="s">
        <v>24</v>
      </c>
      <c r="B19" s="3" t="s">
        <v>97</v>
      </c>
      <c r="C19" s="4">
        <v>46140</v>
      </c>
      <c r="D19" s="4" t="s">
        <v>46</v>
      </c>
      <c r="E19" s="3">
        <v>25</v>
      </c>
      <c r="F19" s="5">
        <v>13.5</v>
      </c>
      <c r="G19" s="5">
        <f>IF(OR(Compras[[#This Row],[Cantidad ]]="",Compras[[#This Row],[Costo]]=""),"-",Compras[[#This Row],[Cantidad ]]*Compras[[#This Row],[Costo]])</f>
        <v>337.5</v>
      </c>
      <c r="H19" s="9">
        <v>0.30609999999999998</v>
      </c>
      <c r="I19" s="7">
        <f>IF(OR(Compras[[#This Row],[Pre-Total ]]="",Compras[[#This Row],[Impuesto]]=""),"-",Compras[[#This Row],[Pre-Total ]]+Compras[[#This Row],[Cantidad ]]*Compras[[#This Row],[Impuesto]])</f>
        <v>345.15249999999997</v>
      </c>
      <c r="J19" s="7">
        <f>Compras[[#This Row],[Total]]/Compras[[#This Row],[Cantidad ]]</f>
        <v>13.806099999999999</v>
      </c>
      <c r="K19" s="8" t="s">
        <v>213</v>
      </c>
    </row>
    <row r="20" spans="1:11" x14ac:dyDescent="0.25">
      <c r="A20" s="3" t="s">
        <v>24</v>
      </c>
      <c r="B20" s="3" t="s">
        <v>98</v>
      </c>
      <c r="C20" s="4">
        <v>46140</v>
      </c>
      <c r="D20" s="4" t="s">
        <v>16</v>
      </c>
      <c r="E20" s="3">
        <v>2</v>
      </c>
      <c r="F20" s="5">
        <v>23.5</v>
      </c>
      <c r="G20" s="5">
        <f>IF(OR(Compras[[#This Row],[Cantidad ]]="",Compras[[#This Row],[Costo]]=""),"-",Compras[[#This Row],[Cantidad ]]*Compras[[#This Row],[Costo]])</f>
        <v>47</v>
      </c>
      <c r="H20" s="9">
        <v>0.30609999999999998</v>
      </c>
      <c r="I20" s="7">
        <f>IF(OR(Compras[[#This Row],[Pre-Total ]]="",Compras[[#This Row],[Impuesto]]=""),"-",Compras[[#This Row],[Pre-Total ]]+Compras[[#This Row],[Cantidad ]]*Compras[[#This Row],[Impuesto]])</f>
        <v>47.612200000000001</v>
      </c>
      <c r="J20" s="7">
        <f>Compras[[#This Row],[Total]]/Compras[[#This Row],[Cantidad ]]</f>
        <v>23.806100000000001</v>
      </c>
      <c r="K20" s="8" t="s">
        <v>213</v>
      </c>
    </row>
    <row r="21" spans="1:11" x14ac:dyDescent="0.25">
      <c r="A21" s="3" t="s">
        <v>24</v>
      </c>
      <c r="B21" s="3" t="s">
        <v>99</v>
      </c>
      <c r="C21" s="4">
        <v>46140</v>
      </c>
      <c r="D21" s="4" t="s">
        <v>16</v>
      </c>
      <c r="E21" s="3">
        <v>3</v>
      </c>
      <c r="F21" s="5">
        <v>23.5</v>
      </c>
      <c r="G21" s="5">
        <f>IF(OR(Compras[[#This Row],[Cantidad ]]="",Compras[[#This Row],[Costo]]=""),"-",Compras[[#This Row],[Cantidad ]]*Compras[[#This Row],[Costo]])</f>
        <v>70.5</v>
      </c>
      <c r="H21" s="9">
        <v>0.30609999999999998</v>
      </c>
      <c r="I21" s="7">
        <f>IF(OR(Compras[[#This Row],[Pre-Total ]]="",Compras[[#This Row],[Impuesto]]=""),"-",Compras[[#This Row],[Pre-Total ]]+Compras[[#This Row],[Cantidad ]]*Compras[[#This Row],[Impuesto]])</f>
        <v>71.418300000000002</v>
      </c>
      <c r="J21" s="7">
        <f>Compras[[#This Row],[Total]]/Compras[[#This Row],[Cantidad ]]</f>
        <v>23.806100000000001</v>
      </c>
      <c r="K21" s="8" t="s">
        <v>213</v>
      </c>
    </row>
    <row r="22" spans="1:11" x14ac:dyDescent="0.25">
      <c r="A22" s="3" t="s">
        <v>24</v>
      </c>
      <c r="B22" s="3" t="s">
        <v>100</v>
      </c>
      <c r="C22" s="4">
        <v>46140</v>
      </c>
      <c r="D22" s="4" t="s">
        <v>95</v>
      </c>
      <c r="E22" s="3">
        <v>15</v>
      </c>
      <c r="F22" s="5">
        <v>14.29</v>
      </c>
      <c r="G22" s="5">
        <f>IF(OR(Compras[[#This Row],[Cantidad ]]="",Compras[[#This Row],[Costo]]=""),"-",Compras[[#This Row],[Cantidad ]]*Compras[[#This Row],[Costo]])</f>
        <v>214.35</v>
      </c>
      <c r="H22" s="9">
        <v>0.30609999999999998</v>
      </c>
      <c r="I22" s="7">
        <f>IF(OR(Compras[[#This Row],[Pre-Total ]]="",Compras[[#This Row],[Impuesto]]=""),"-",Compras[[#This Row],[Pre-Total ]]+Compras[[#This Row],[Cantidad ]]*Compras[[#This Row],[Impuesto]])</f>
        <v>218.94149999999999</v>
      </c>
      <c r="J22" s="7">
        <f>Compras[[#This Row],[Total]]/Compras[[#This Row],[Cantidad ]]</f>
        <v>14.5961</v>
      </c>
      <c r="K22" s="8" t="s">
        <v>213</v>
      </c>
    </row>
    <row r="23" spans="1:11" x14ac:dyDescent="0.25">
      <c r="A23" s="3" t="s">
        <v>24</v>
      </c>
      <c r="B23" s="3" t="s">
        <v>101</v>
      </c>
      <c r="C23" s="4">
        <v>46140</v>
      </c>
      <c r="D23" s="4" t="s">
        <v>95</v>
      </c>
      <c r="E23" s="3">
        <v>15</v>
      </c>
      <c r="F23" s="5">
        <v>14.29</v>
      </c>
      <c r="G23" s="5">
        <f>IF(OR(Compras[[#This Row],[Cantidad ]]="",Compras[[#This Row],[Costo]]=""),"-",Compras[[#This Row],[Cantidad ]]*Compras[[#This Row],[Costo]])</f>
        <v>214.35</v>
      </c>
      <c r="H23" s="9">
        <v>0.30609999999999998</v>
      </c>
      <c r="I23" s="7">
        <f>IF(OR(Compras[[#This Row],[Pre-Total ]]="",Compras[[#This Row],[Impuesto]]=""),"-",Compras[[#This Row],[Pre-Total ]]+Compras[[#This Row],[Cantidad ]]*Compras[[#This Row],[Impuesto]])</f>
        <v>218.94149999999999</v>
      </c>
      <c r="J23" s="7">
        <f>Compras[[#This Row],[Total]]/Compras[[#This Row],[Cantidad ]]</f>
        <v>14.5961</v>
      </c>
      <c r="K23" s="8" t="s">
        <v>213</v>
      </c>
    </row>
    <row r="24" spans="1:11" x14ac:dyDescent="0.25">
      <c r="A24" s="3" t="s">
        <v>24</v>
      </c>
      <c r="B24" s="3" t="s">
        <v>102</v>
      </c>
      <c r="C24" s="4">
        <v>46140</v>
      </c>
      <c r="D24" s="4" t="s">
        <v>17</v>
      </c>
      <c r="E24" s="3">
        <v>50</v>
      </c>
      <c r="F24" s="5">
        <v>3.97</v>
      </c>
      <c r="G24" s="5">
        <f>IF(OR(Compras[[#This Row],[Cantidad ]]="",Compras[[#This Row],[Costo]]=""),"-",Compras[[#This Row],[Cantidad ]]*Compras[[#This Row],[Costo]])</f>
        <v>198.5</v>
      </c>
      <c r="H24" s="9">
        <v>0.30609999999999998</v>
      </c>
      <c r="I24" s="7">
        <f>IF(OR(Compras[[#This Row],[Pre-Total ]]="",Compras[[#This Row],[Impuesto]]=""),"-",Compras[[#This Row],[Pre-Total ]]+Compras[[#This Row],[Cantidad ]]*Compras[[#This Row],[Impuesto]])</f>
        <v>213.80500000000001</v>
      </c>
      <c r="J24" s="7">
        <f>Compras[[#This Row],[Total]]/Compras[[#This Row],[Cantidad ]]</f>
        <v>4.2761000000000005</v>
      </c>
      <c r="K24" s="8" t="s">
        <v>213</v>
      </c>
    </row>
    <row r="25" spans="1:11" x14ac:dyDescent="0.25">
      <c r="A25" s="3" t="s">
        <v>66</v>
      </c>
      <c r="B25" s="3" t="s">
        <v>103</v>
      </c>
      <c r="C25" s="4">
        <v>46140</v>
      </c>
      <c r="D25" s="4" t="s">
        <v>65</v>
      </c>
      <c r="E25" s="3">
        <v>25</v>
      </c>
      <c r="F25" s="5">
        <v>0.72</v>
      </c>
      <c r="G25" s="5">
        <f>IF(OR(Compras[[#This Row],[Cantidad ]]="",Compras[[#This Row],[Costo]]=""),"-",Compras[[#This Row],[Cantidad ]]*Compras[[#This Row],[Costo]])</f>
        <v>18</v>
      </c>
      <c r="H25" s="9">
        <v>0.15759999999999999</v>
      </c>
      <c r="I25" s="7">
        <f>IF(OR(Compras[[#This Row],[Pre-Total ]]="",Compras[[#This Row],[Impuesto]]=""),"-",Compras[[#This Row],[Pre-Total ]]+Compras[[#This Row],[Cantidad ]]*Compras[[#This Row],[Impuesto]])</f>
        <v>21.94</v>
      </c>
      <c r="J25" s="7">
        <f>Compras[[#This Row],[Total]]/Compras[[#This Row],[Cantidad ]]</f>
        <v>0.87760000000000005</v>
      </c>
      <c r="K25" s="8" t="s">
        <v>213</v>
      </c>
    </row>
    <row r="26" spans="1:11" x14ac:dyDescent="0.25">
      <c r="A26" s="3" t="s">
        <v>66</v>
      </c>
      <c r="B26" s="3" t="s">
        <v>109</v>
      </c>
      <c r="C26" s="4">
        <v>46140</v>
      </c>
      <c r="D26" s="4" t="s">
        <v>65</v>
      </c>
      <c r="E26" s="3">
        <v>25</v>
      </c>
      <c r="F26" s="5">
        <v>0.72</v>
      </c>
      <c r="G26" s="5">
        <f>IF(OR(Compras[[#This Row],[Cantidad ]]="",Compras[[#This Row],[Costo]]=""),"-",Compras[[#This Row],[Cantidad ]]*Compras[[#This Row],[Costo]])</f>
        <v>18</v>
      </c>
      <c r="H26" s="9">
        <v>0.15759999999999999</v>
      </c>
      <c r="I26" s="7">
        <f>IF(OR(Compras[[#This Row],[Pre-Total ]]="",Compras[[#This Row],[Impuesto]]=""),"-",Compras[[#This Row],[Pre-Total ]]+Compras[[#This Row],[Cantidad ]]*Compras[[#This Row],[Impuesto]])</f>
        <v>21.94</v>
      </c>
      <c r="J26" s="7">
        <f>Compras[[#This Row],[Total]]/Compras[[#This Row],[Cantidad ]]</f>
        <v>0.87760000000000005</v>
      </c>
      <c r="K26" s="8" t="s">
        <v>213</v>
      </c>
    </row>
    <row r="27" spans="1:11" x14ac:dyDescent="0.25">
      <c r="A27" s="3" t="s">
        <v>66</v>
      </c>
      <c r="B27" s="3" t="s">
        <v>110</v>
      </c>
      <c r="C27" s="4">
        <v>46140</v>
      </c>
      <c r="D27" s="4" t="s">
        <v>18</v>
      </c>
      <c r="E27" s="3">
        <v>20</v>
      </c>
      <c r="F27" s="5">
        <v>12.86</v>
      </c>
      <c r="G27" s="5">
        <f>IF(OR(Compras[[#This Row],[Cantidad ]]="",Compras[[#This Row],[Costo]]=""),"-",Compras[[#This Row],[Cantidad ]]*Compras[[#This Row],[Costo]])</f>
        <v>257.2</v>
      </c>
      <c r="H27" s="9">
        <v>0.15759999999999999</v>
      </c>
      <c r="I27" s="7">
        <f>IF(OR(Compras[[#This Row],[Pre-Total ]]="",Compras[[#This Row],[Impuesto]]=""),"-",Compras[[#This Row],[Pre-Total ]]+Compras[[#This Row],[Cantidad ]]*Compras[[#This Row],[Impuesto]])</f>
        <v>260.35199999999998</v>
      </c>
      <c r="J27" s="7">
        <f>Compras[[#This Row],[Total]]/Compras[[#This Row],[Cantidad ]]</f>
        <v>13.017599999999998</v>
      </c>
      <c r="K27" s="8" t="s">
        <v>213</v>
      </c>
    </row>
    <row r="28" spans="1:11" x14ac:dyDescent="0.25">
      <c r="A28" s="3" t="s">
        <v>66</v>
      </c>
      <c r="B28" s="3" t="s">
        <v>111</v>
      </c>
      <c r="C28" s="4">
        <v>46140</v>
      </c>
      <c r="D28" s="4" t="s">
        <v>19</v>
      </c>
      <c r="E28" s="3">
        <v>20</v>
      </c>
      <c r="F28" s="5">
        <v>12.86</v>
      </c>
      <c r="G28" s="5">
        <f>IF(OR(Compras[[#This Row],[Cantidad ]]="",Compras[[#This Row],[Costo]]=""),"-",Compras[[#This Row],[Cantidad ]]*Compras[[#This Row],[Costo]])</f>
        <v>257.2</v>
      </c>
      <c r="H28" s="9">
        <v>0.15759999999999999</v>
      </c>
      <c r="I28" s="7">
        <f>IF(OR(Compras[[#This Row],[Pre-Total ]]="",Compras[[#This Row],[Impuesto]]=""),"-",Compras[[#This Row],[Pre-Total ]]+Compras[[#This Row],[Cantidad ]]*Compras[[#This Row],[Impuesto]])</f>
        <v>260.35199999999998</v>
      </c>
      <c r="J28" s="7">
        <f>Compras[[#This Row],[Total]]/Compras[[#This Row],[Cantidad ]]</f>
        <v>13.017599999999998</v>
      </c>
      <c r="K28" s="8" t="s">
        <v>213</v>
      </c>
    </row>
    <row r="29" spans="1:11" x14ac:dyDescent="0.25">
      <c r="A29" s="3" t="s">
        <v>66</v>
      </c>
      <c r="B29" s="3" t="s">
        <v>112</v>
      </c>
      <c r="C29" s="4">
        <v>46140</v>
      </c>
      <c r="D29" s="4" t="s">
        <v>21</v>
      </c>
      <c r="E29" s="3">
        <v>50</v>
      </c>
      <c r="F29" s="5">
        <v>0.64</v>
      </c>
      <c r="G29" s="5">
        <f>IF(OR(Compras[[#This Row],[Cantidad ]]="",Compras[[#This Row],[Costo]]=""),"-",Compras[[#This Row],[Cantidad ]]*Compras[[#This Row],[Costo]])</f>
        <v>32</v>
      </c>
      <c r="H29" s="9">
        <v>0.15759999999999999</v>
      </c>
      <c r="I29" s="7">
        <f>IF(OR(Compras[[#This Row],[Pre-Total ]]="",Compras[[#This Row],[Impuesto]]=""),"-",Compras[[#This Row],[Pre-Total ]]+Compras[[#This Row],[Cantidad ]]*Compras[[#This Row],[Impuesto]])</f>
        <v>39.880000000000003</v>
      </c>
      <c r="J29" s="7">
        <f>Compras[[#This Row],[Total]]/Compras[[#This Row],[Cantidad ]]</f>
        <v>0.79760000000000009</v>
      </c>
      <c r="K29" s="8" t="s">
        <v>213</v>
      </c>
    </row>
    <row r="30" spans="1:11" x14ac:dyDescent="0.25">
      <c r="A30" s="3" t="s">
        <v>66</v>
      </c>
      <c r="B30" s="3" t="s">
        <v>113</v>
      </c>
      <c r="C30" s="4">
        <v>46140</v>
      </c>
      <c r="D30" s="4" t="s">
        <v>22</v>
      </c>
      <c r="E30" s="3">
        <v>50</v>
      </c>
      <c r="F30" s="5">
        <v>0.64</v>
      </c>
      <c r="G30" s="5">
        <f>IF(OR(Compras[[#This Row],[Cantidad ]]="",Compras[[#This Row],[Costo]]=""),"-",Compras[[#This Row],[Cantidad ]]*Compras[[#This Row],[Costo]])</f>
        <v>32</v>
      </c>
      <c r="H30" s="9">
        <v>0.15759999999999999</v>
      </c>
      <c r="I30" s="7">
        <f>IF(OR(Compras[[#This Row],[Pre-Total ]]="",Compras[[#This Row],[Impuesto]]=""),"-",Compras[[#This Row],[Pre-Total ]]+Compras[[#This Row],[Cantidad ]]*Compras[[#This Row],[Impuesto]])</f>
        <v>39.880000000000003</v>
      </c>
      <c r="J30" s="7">
        <f>Compras[[#This Row],[Total]]/Compras[[#This Row],[Cantidad ]]</f>
        <v>0.79760000000000009</v>
      </c>
      <c r="K30" s="8" t="s">
        <v>213</v>
      </c>
    </row>
    <row r="31" spans="1:11" x14ac:dyDescent="0.25">
      <c r="A31" s="3" t="s">
        <v>66</v>
      </c>
      <c r="B31" s="3" t="s">
        <v>114</v>
      </c>
      <c r="C31" s="4">
        <v>46140</v>
      </c>
      <c r="D31" s="4" t="s">
        <v>104</v>
      </c>
      <c r="E31" s="3">
        <v>10</v>
      </c>
      <c r="F31" s="5">
        <v>8.89</v>
      </c>
      <c r="G31" s="5">
        <f>IF(OR(Compras[[#This Row],[Cantidad ]]="",Compras[[#This Row],[Costo]]=""),"-",Compras[[#This Row],[Cantidad ]]*Compras[[#This Row],[Costo]])</f>
        <v>88.9</v>
      </c>
      <c r="H31" s="9">
        <v>0.15759999999999999</v>
      </c>
      <c r="I31" s="7">
        <f>IF(OR(Compras[[#This Row],[Pre-Total ]]="",Compras[[#This Row],[Impuesto]]=""),"-",Compras[[#This Row],[Pre-Total ]]+Compras[[#This Row],[Cantidad ]]*Compras[[#This Row],[Impuesto]])</f>
        <v>90.475999999999999</v>
      </c>
      <c r="J31" s="7">
        <f>Compras[[#This Row],[Total]]/Compras[[#This Row],[Cantidad ]]</f>
        <v>9.0475999999999992</v>
      </c>
      <c r="K31" s="8" t="s">
        <v>213</v>
      </c>
    </row>
    <row r="32" spans="1:11" x14ac:dyDescent="0.25">
      <c r="A32" s="3" t="s">
        <v>66</v>
      </c>
      <c r="B32" s="3" t="s">
        <v>115</v>
      </c>
      <c r="C32" s="4">
        <v>46140</v>
      </c>
      <c r="D32" s="4" t="s">
        <v>105</v>
      </c>
      <c r="E32" s="3">
        <v>10</v>
      </c>
      <c r="F32" s="5">
        <v>8.74</v>
      </c>
      <c r="G32" s="5">
        <f>IF(OR(Compras[[#This Row],[Cantidad ]]="",Compras[[#This Row],[Costo]]=""),"-",Compras[[#This Row],[Cantidad ]]*Compras[[#This Row],[Costo]])</f>
        <v>87.4</v>
      </c>
      <c r="H32" s="9">
        <v>0.15759999999999999</v>
      </c>
      <c r="I32" s="7">
        <f>IF(OR(Compras[[#This Row],[Pre-Total ]]="",Compras[[#This Row],[Impuesto]]=""),"-",Compras[[#This Row],[Pre-Total ]]+Compras[[#This Row],[Cantidad ]]*Compras[[#This Row],[Impuesto]])</f>
        <v>88.975999999999999</v>
      </c>
      <c r="J32" s="7">
        <f>Compras[[#This Row],[Total]]/Compras[[#This Row],[Cantidad ]]</f>
        <v>8.8976000000000006</v>
      </c>
      <c r="K32" s="8" t="s">
        <v>213</v>
      </c>
    </row>
    <row r="33" spans="1:12" x14ac:dyDescent="0.25">
      <c r="A33" s="3" t="s">
        <v>66</v>
      </c>
      <c r="B33" s="3" t="s">
        <v>116</v>
      </c>
      <c r="C33" s="4">
        <v>46140</v>
      </c>
      <c r="D33" s="4" t="s">
        <v>9</v>
      </c>
      <c r="E33" s="3">
        <v>10</v>
      </c>
      <c r="F33" s="5">
        <v>9.0500000000000007</v>
      </c>
      <c r="G33" s="5">
        <f>IF(OR(Compras[[#This Row],[Cantidad ]]="",Compras[[#This Row],[Costo]]=""),"-",Compras[[#This Row],[Cantidad ]]*Compras[[#This Row],[Costo]])</f>
        <v>90.5</v>
      </c>
      <c r="H33" s="9">
        <v>0.15759999999999999</v>
      </c>
      <c r="I33" s="7">
        <f>IF(OR(Compras[[#This Row],[Pre-Total ]]="",Compras[[#This Row],[Impuesto]]=""),"-",Compras[[#This Row],[Pre-Total ]]+Compras[[#This Row],[Cantidad ]]*Compras[[#This Row],[Impuesto]])</f>
        <v>92.075999999999993</v>
      </c>
      <c r="J33" s="7">
        <f>Compras[[#This Row],[Total]]/Compras[[#This Row],[Cantidad ]]</f>
        <v>9.2075999999999993</v>
      </c>
      <c r="K33" s="8" t="s">
        <v>213</v>
      </c>
    </row>
    <row r="34" spans="1:12" x14ac:dyDescent="0.25">
      <c r="A34" s="3" t="s">
        <v>66</v>
      </c>
      <c r="B34" s="3" t="s">
        <v>117</v>
      </c>
      <c r="C34" s="4">
        <v>46140</v>
      </c>
      <c r="D34" s="4" t="s">
        <v>20</v>
      </c>
      <c r="E34" s="3">
        <v>10</v>
      </c>
      <c r="F34" s="5">
        <v>14.3</v>
      </c>
      <c r="G34" s="5">
        <f>IF(OR(Compras[[#This Row],[Cantidad ]]="",Compras[[#This Row],[Costo]]=""),"-",Compras[[#This Row],[Cantidad ]]*Compras[[#This Row],[Costo]])</f>
        <v>143</v>
      </c>
      <c r="H34" s="9">
        <v>0.15759999999999999</v>
      </c>
      <c r="I34" s="7">
        <f>IF(OR(Compras[[#This Row],[Pre-Total ]]="",Compras[[#This Row],[Impuesto]]=""),"-",Compras[[#This Row],[Pre-Total ]]+Compras[[#This Row],[Cantidad ]]*Compras[[#This Row],[Impuesto]])</f>
        <v>144.57599999999999</v>
      </c>
      <c r="J34" s="7">
        <f>Compras[[#This Row],[Total]]/Compras[[#This Row],[Cantidad ]]</f>
        <v>14.457599999999999</v>
      </c>
      <c r="K34" s="8" t="s">
        <v>213</v>
      </c>
    </row>
    <row r="35" spans="1:12" x14ac:dyDescent="0.25">
      <c r="A35" s="3" t="s">
        <v>66</v>
      </c>
      <c r="B35" s="3" t="s">
        <v>118</v>
      </c>
      <c r="C35" s="4">
        <v>46140</v>
      </c>
      <c r="D35" s="4" t="s">
        <v>106</v>
      </c>
      <c r="E35" s="3">
        <v>5</v>
      </c>
      <c r="F35" s="5">
        <v>13.97</v>
      </c>
      <c r="G35" s="5">
        <f>IF(OR(Compras[[#This Row],[Cantidad ]]="",Compras[[#This Row],[Costo]]=""),"-",Compras[[#This Row],[Cantidad ]]*Compras[[#This Row],[Costo]])</f>
        <v>69.850000000000009</v>
      </c>
      <c r="H35" s="9">
        <v>0.15759999999999999</v>
      </c>
      <c r="I35" s="7">
        <f>IF(OR(Compras[[#This Row],[Pre-Total ]]="",Compras[[#This Row],[Impuesto]]=""),"-",Compras[[#This Row],[Pre-Total ]]+Compras[[#This Row],[Cantidad ]]*Compras[[#This Row],[Impuesto]])</f>
        <v>70.638000000000005</v>
      </c>
      <c r="J35" s="7">
        <f>Compras[[#This Row],[Total]]/Compras[[#This Row],[Cantidad ]]</f>
        <v>14.127600000000001</v>
      </c>
      <c r="K35" s="8" t="s">
        <v>213</v>
      </c>
    </row>
    <row r="36" spans="1:12" x14ac:dyDescent="0.25">
      <c r="A36" s="3" t="s">
        <v>66</v>
      </c>
      <c r="B36" s="3" t="s">
        <v>119</v>
      </c>
      <c r="C36" s="4">
        <v>46140</v>
      </c>
      <c r="D36" s="4" t="s">
        <v>106</v>
      </c>
      <c r="E36" s="3">
        <v>5</v>
      </c>
      <c r="F36" s="5">
        <v>13.97</v>
      </c>
      <c r="G36" s="5">
        <f>IF(OR(Compras[[#This Row],[Cantidad ]]="",Compras[[#This Row],[Costo]]=""),"-",Compras[[#This Row],[Cantidad ]]*Compras[[#This Row],[Costo]])</f>
        <v>69.850000000000009</v>
      </c>
      <c r="H36" s="9">
        <v>0.15759999999999999</v>
      </c>
      <c r="I36" s="7">
        <f>IF(OR(Compras[[#This Row],[Pre-Total ]]="",Compras[[#This Row],[Impuesto]]=""),"-",Compras[[#This Row],[Pre-Total ]]+Compras[[#This Row],[Cantidad ]]*Compras[[#This Row],[Impuesto]])</f>
        <v>70.638000000000005</v>
      </c>
      <c r="J36" s="7">
        <f>Compras[[#This Row],[Total]]/Compras[[#This Row],[Cantidad ]]</f>
        <v>14.127600000000001</v>
      </c>
      <c r="K36" s="8" t="s">
        <v>213</v>
      </c>
    </row>
    <row r="37" spans="1:12" x14ac:dyDescent="0.25">
      <c r="A37" s="3" t="s">
        <v>66</v>
      </c>
      <c r="B37" s="3" t="s">
        <v>120</v>
      </c>
      <c r="C37" s="4">
        <v>46140</v>
      </c>
      <c r="D37" s="4" t="s">
        <v>107</v>
      </c>
      <c r="E37" s="3">
        <v>5</v>
      </c>
      <c r="F37" s="5">
        <v>15.39</v>
      </c>
      <c r="G37" s="5">
        <f>IF(OR(Compras[[#This Row],[Cantidad ]]="",Compras[[#This Row],[Costo]]=""),"-",Compras[[#This Row],[Cantidad ]]*Compras[[#This Row],[Costo]])</f>
        <v>76.95</v>
      </c>
      <c r="H37" s="9">
        <v>0.15759999999999999</v>
      </c>
      <c r="I37" s="7">
        <f>IF(OR(Compras[[#This Row],[Pre-Total ]]="",Compras[[#This Row],[Impuesto]]=""),"-",Compras[[#This Row],[Pre-Total ]]+Compras[[#This Row],[Cantidad ]]*Compras[[#This Row],[Impuesto]])</f>
        <v>77.738</v>
      </c>
      <c r="J37" s="7">
        <f>Compras[[#This Row],[Total]]/Compras[[#This Row],[Cantidad ]]</f>
        <v>15.547599999999999</v>
      </c>
      <c r="K37" s="8" t="s">
        <v>213</v>
      </c>
    </row>
    <row r="38" spans="1:12" x14ac:dyDescent="0.25">
      <c r="A38" s="3" t="s">
        <v>66</v>
      </c>
      <c r="B38" s="3" t="s">
        <v>121</v>
      </c>
      <c r="C38" s="4">
        <v>46140</v>
      </c>
      <c r="D38" s="4" t="s">
        <v>107</v>
      </c>
      <c r="E38" s="3">
        <v>5</v>
      </c>
      <c r="F38" s="5">
        <v>15.39</v>
      </c>
      <c r="G38" s="5">
        <f>IF(OR(Compras[[#This Row],[Cantidad ]]="",Compras[[#This Row],[Costo]]=""),"-",Compras[[#This Row],[Cantidad ]]*Compras[[#This Row],[Costo]])</f>
        <v>76.95</v>
      </c>
      <c r="H38" s="9">
        <v>0.15759999999999999</v>
      </c>
      <c r="I38" s="7">
        <f>IF(OR(Compras[[#This Row],[Pre-Total ]]="",Compras[[#This Row],[Impuesto]]=""),"-",Compras[[#This Row],[Pre-Total ]]+Compras[[#This Row],[Cantidad ]]*Compras[[#This Row],[Impuesto]])</f>
        <v>77.738</v>
      </c>
      <c r="J38" s="7">
        <f>Compras[[#This Row],[Total]]/Compras[[#This Row],[Cantidad ]]</f>
        <v>15.547599999999999</v>
      </c>
      <c r="K38" s="8" t="s">
        <v>213</v>
      </c>
    </row>
    <row r="39" spans="1:12" x14ac:dyDescent="0.25">
      <c r="A39" s="3" t="s">
        <v>122</v>
      </c>
      <c r="B39" s="3" t="s">
        <v>125</v>
      </c>
      <c r="C39" s="4">
        <v>46163</v>
      </c>
      <c r="D39" s="4" t="s">
        <v>123</v>
      </c>
      <c r="E39" s="3">
        <v>1</v>
      </c>
      <c r="F39" s="5">
        <v>84.1</v>
      </c>
      <c r="G39" s="5">
        <f>IF(OR(Compras[[#This Row],[Cantidad ]]="",Compras[[#This Row],[Costo]]=""),"-",Compras[[#This Row],[Cantidad ]]*Compras[[#This Row],[Costo]])</f>
        <v>84.1</v>
      </c>
      <c r="H39" s="9">
        <v>2.5099999999999998</v>
      </c>
      <c r="I39" s="7">
        <f>IF(OR(Compras[[#This Row],[Pre-Total ]]="",Compras[[#This Row],[Impuesto]]=""),"-",Compras[[#This Row],[Pre-Total ]]+Compras[[#This Row],[Cantidad ]]*Compras[[#This Row],[Impuesto]])</f>
        <v>86.61</v>
      </c>
      <c r="J39" s="7">
        <f>Compras[[#This Row],[Total]]/Compras[[#This Row],[Cantidad ]]</f>
        <v>86.61</v>
      </c>
      <c r="K39" s="8"/>
    </row>
    <row r="40" spans="1:12" x14ac:dyDescent="0.25">
      <c r="A40" s="3" t="s">
        <v>124</v>
      </c>
      <c r="B40" s="3" t="s">
        <v>126</v>
      </c>
      <c r="C40" s="4">
        <v>46175</v>
      </c>
      <c r="D40" s="4" t="s">
        <v>57</v>
      </c>
      <c r="E40" s="3">
        <v>30</v>
      </c>
      <c r="F40" s="5">
        <v>13.97</v>
      </c>
      <c r="G40" s="5">
        <f>IF(OR(Compras[[#This Row],[Cantidad ]]="",Compras[[#This Row],[Costo]]=""),"-",Compras[[#This Row],[Cantidad ]]*Compras[[#This Row],[Costo]])</f>
        <v>419.1</v>
      </c>
      <c r="H40" s="9">
        <v>0.1913</v>
      </c>
      <c r="I40" s="7">
        <f>IF(OR(Compras[[#This Row],[Pre-Total ]]="",Compras[[#This Row],[Impuesto]]=""),"-",Compras[[#This Row],[Pre-Total ]]+Compras[[#This Row],[Cantidad ]]*Compras[[#This Row],[Impuesto]])</f>
        <v>424.839</v>
      </c>
      <c r="J40" s="7">
        <f>Compras[[#This Row],[Total]]/Compras[[#This Row],[Cantidad ]]</f>
        <v>14.161300000000001</v>
      </c>
      <c r="K40" s="8"/>
    </row>
    <row r="41" spans="1:12" x14ac:dyDescent="0.25">
      <c r="A41" s="3" t="s">
        <v>124</v>
      </c>
      <c r="B41" s="3" t="s">
        <v>127</v>
      </c>
      <c r="C41" s="4">
        <v>46175</v>
      </c>
      <c r="D41" s="4" t="s">
        <v>58</v>
      </c>
      <c r="E41" s="3">
        <v>20</v>
      </c>
      <c r="F41" s="5">
        <v>13.97</v>
      </c>
      <c r="G41" s="5">
        <f>IF(OR(Compras[[#This Row],[Cantidad ]]="",Compras[[#This Row],[Costo]]=""),"-",Compras[[#This Row],[Cantidad ]]*Compras[[#This Row],[Costo]])</f>
        <v>279.40000000000003</v>
      </c>
      <c r="H41" s="9">
        <v>0.1913</v>
      </c>
      <c r="I41" s="7">
        <f>IF(OR(Compras[[#This Row],[Pre-Total ]]="",Compras[[#This Row],[Impuesto]]=""),"-",Compras[[#This Row],[Pre-Total ]]+Compras[[#This Row],[Cantidad ]]*Compras[[#This Row],[Impuesto]])</f>
        <v>283.22600000000006</v>
      </c>
      <c r="J41" s="7">
        <f>Compras[[#This Row],[Total]]/Compras[[#This Row],[Cantidad ]]</f>
        <v>14.161300000000002</v>
      </c>
      <c r="K41" s="8"/>
      <c r="L41" s="2">
        <f>SUM(G40:G54)</f>
        <v>2943.25</v>
      </c>
    </row>
    <row r="42" spans="1:12" x14ac:dyDescent="0.25">
      <c r="A42" s="3" t="s">
        <v>124</v>
      </c>
      <c r="B42" s="3" t="s">
        <v>128</v>
      </c>
      <c r="C42" s="4">
        <v>46175</v>
      </c>
      <c r="D42" s="4" t="s">
        <v>59</v>
      </c>
      <c r="E42" s="3">
        <v>10</v>
      </c>
      <c r="F42" s="5">
        <v>13.97</v>
      </c>
      <c r="G42" s="5">
        <f>IF(OR(Compras[[#This Row],[Cantidad ]]="",Compras[[#This Row],[Costo]]=""),"-",Compras[[#This Row],[Cantidad ]]*Compras[[#This Row],[Costo]])</f>
        <v>139.70000000000002</v>
      </c>
      <c r="H42" s="9">
        <v>0.1913</v>
      </c>
      <c r="I42" s="7">
        <f>IF(OR(Compras[[#This Row],[Pre-Total ]]="",Compras[[#This Row],[Impuesto]]=""),"-",Compras[[#This Row],[Pre-Total ]]+Compras[[#This Row],[Cantidad ]]*Compras[[#This Row],[Impuesto]])</f>
        <v>141.61300000000003</v>
      </c>
      <c r="J42" s="7">
        <f>Compras[[#This Row],[Total]]/Compras[[#This Row],[Cantidad ]]</f>
        <v>14.161300000000002</v>
      </c>
      <c r="K42" s="8"/>
    </row>
    <row r="43" spans="1:12" x14ac:dyDescent="0.25">
      <c r="A43" s="3" t="s">
        <v>124</v>
      </c>
      <c r="B43" s="3" t="s">
        <v>129</v>
      </c>
      <c r="C43" s="4">
        <v>46175</v>
      </c>
      <c r="D43" s="4" t="s">
        <v>46</v>
      </c>
      <c r="E43" s="3">
        <v>50</v>
      </c>
      <c r="F43" s="5">
        <v>13.5</v>
      </c>
      <c r="G43" s="5">
        <f>IF(OR(Compras[[#This Row],[Cantidad ]]="",Compras[[#This Row],[Costo]]=""),"-",Compras[[#This Row],[Cantidad ]]*Compras[[#This Row],[Costo]])</f>
        <v>675</v>
      </c>
      <c r="H43" s="9">
        <v>0.1913</v>
      </c>
      <c r="I43" s="7">
        <f>IF(OR(Compras[[#This Row],[Pre-Total ]]="",Compras[[#This Row],[Impuesto]]=""),"-",Compras[[#This Row],[Pre-Total ]]+Compras[[#This Row],[Cantidad ]]*Compras[[#This Row],[Impuesto]])</f>
        <v>684.56500000000005</v>
      </c>
      <c r="J43" s="7">
        <f>Compras[[#This Row],[Total]]/Compras[[#This Row],[Cantidad ]]</f>
        <v>13.691300000000002</v>
      </c>
      <c r="K43" s="8"/>
    </row>
    <row r="44" spans="1:12" x14ac:dyDescent="0.25">
      <c r="A44" s="3" t="s">
        <v>124</v>
      </c>
      <c r="B44" s="3" t="s">
        <v>130</v>
      </c>
      <c r="C44" s="4">
        <v>46175</v>
      </c>
      <c r="D44" s="4" t="s">
        <v>47</v>
      </c>
      <c r="E44" s="3">
        <v>50</v>
      </c>
      <c r="F44" s="5">
        <v>13.97</v>
      </c>
      <c r="G44" s="5">
        <f>IF(OR(Compras[[#This Row],[Cantidad ]]="",Compras[[#This Row],[Costo]]=""),"-",Compras[[#This Row],[Cantidad ]]*Compras[[#This Row],[Costo]])</f>
        <v>698.5</v>
      </c>
      <c r="H44" s="9">
        <v>0.1913</v>
      </c>
      <c r="I44" s="7">
        <f>IF(OR(Compras[[#This Row],[Pre-Total ]]="",Compras[[#This Row],[Impuesto]]=""),"-",Compras[[#This Row],[Pre-Total ]]+Compras[[#This Row],[Cantidad ]]*Compras[[#This Row],[Impuesto]])</f>
        <v>708.06500000000005</v>
      </c>
      <c r="J44" s="7">
        <f>Compras[[#This Row],[Total]]/Compras[[#This Row],[Cantidad ]]</f>
        <v>14.161300000000001</v>
      </c>
      <c r="K44" s="8"/>
    </row>
    <row r="45" spans="1:12" x14ac:dyDescent="0.25">
      <c r="A45" s="3" t="s">
        <v>124</v>
      </c>
      <c r="B45" s="3" t="s">
        <v>131</v>
      </c>
      <c r="C45" s="4">
        <v>46175</v>
      </c>
      <c r="D45" s="4" t="s">
        <v>53</v>
      </c>
      <c r="E45" s="3">
        <v>50</v>
      </c>
      <c r="F45" s="5">
        <v>6.3</v>
      </c>
      <c r="G45" s="5">
        <f>IF(OR(Compras[[#This Row],[Cantidad ]]="",Compras[[#This Row],[Costo]]=""),"-",Compras[[#This Row],[Cantidad ]]*Compras[[#This Row],[Costo]])</f>
        <v>315</v>
      </c>
      <c r="H45" s="9">
        <v>0.1913</v>
      </c>
      <c r="I45" s="7">
        <f>IF(OR(Compras[[#This Row],[Pre-Total ]]="",Compras[[#This Row],[Impuesto]]=""),"-",Compras[[#This Row],[Pre-Total ]]+Compras[[#This Row],[Cantidad ]]*Compras[[#This Row],[Impuesto]])</f>
        <v>324.565</v>
      </c>
      <c r="J45" s="7">
        <f>Compras[[#This Row],[Total]]/Compras[[#This Row],[Cantidad ]]</f>
        <v>6.4912999999999998</v>
      </c>
      <c r="K45" s="8"/>
    </row>
    <row r="46" spans="1:12" x14ac:dyDescent="0.25">
      <c r="A46" s="3" t="s">
        <v>124</v>
      </c>
      <c r="B46" s="3" t="s">
        <v>132</v>
      </c>
      <c r="C46" s="4">
        <v>46175</v>
      </c>
      <c r="D46" s="4" t="s">
        <v>54</v>
      </c>
      <c r="E46" s="3">
        <v>5</v>
      </c>
      <c r="F46" s="5">
        <v>6.3</v>
      </c>
      <c r="G46" s="5">
        <f>IF(OR(Compras[[#This Row],[Cantidad ]]="",Compras[[#This Row],[Costo]]=""),"-",Compras[[#This Row],[Cantidad ]]*Compras[[#This Row],[Costo]])</f>
        <v>31.5</v>
      </c>
      <c r="H46" s="9">
        <v>0.1913</v>
      </c>
      <c r="I46" s="7">
        <f>IF(OR(Compras[[#This Row],[Pre-Total ]]="",Compras[[#This Row],[Impuesto]]=""),"-",Compras[[#This Row],[Pre-Total ]]+Compras[[#This Row],[Cantidad ]]*Compras[[#This Row],[Impuesto]])</f>
        <v>32.456499999999998</v>
      </c>
      <c r="J46" s="7">
        <f>Compras[[#This Row],[Total]]/Compras[[#This Row],[Cantidad ]]</f>
        <v>6.4912999999999998</v>
      </c>
      <c r="K46" s="8"/>
    </row>
    <row r="47" spans="1:12" x14ac:dyDescent="0.25">
      <c r="A47" s="3" t="s">
        <v>124</v>
      </c>
      <c r="B47" s="3" t="s">
        <v>133</v>
      </c>
      <c r="C47" s="4">
        <v>46175</v>
      </c>
      <c r="D47" s="4" t="s">
        <v>55</v>
      </c>
      <c r="E47" s="3">
        <v>15</v>
      </c>
      <c r="F47" s="5">
        <v>6.3</v>
      </c>
      <c r="G47" s="5">
        <f>IF(OR(Compras[[#This Row],[Cantidad ]]="",Compras[[#This Row],[Costo]]=""),"-",Compras[[#This Row],[Cantidad ]]*Compras[[#This Row],[Costo]])</f>
        <v>94.5</v>
      </c>
      <c r="H47" s="9">
        <v>0.1913</v>
      </c>
      <c r="I47" s="7">
        <f>IF(OR(Compras[[#This Row],[Pre-Total ]]="",Compras[[#This Row],[Impuesto]]=""),"-",Compras[[#This Row],[Pre-Total ]]+Compras[[#This Row],[Cantidad ]]*Compras[[#This Row],[Impuesto]])</f>
        <v>97.369500000000002</v>
      </c>
      <c r="J47" s="7">
        <f>Compras[[#This Row],[Total]]/Compras[[#This Row],[Cantidad ]]</f>
        <v>6.4912999999999998</v>
      </c>
      <c r="K47" s="8"/>
    </row>
    <row r="48" spans="1:12" x14ac:dyDescent="0.25">
      <c r="A48" s="3" t="s">
        <v>124</v>
      </c>
      <c r="B48" s="3" t="s">
        <v>134</v>
      </c>
      <c r="C48" s="4">
        <v>46175</v>
      </c>
      <c r="D48" s="4" t="s">
        <v>56</v>
      </c>
      <c r="E48" s="3">
        <v>5</v>
      </c>
      <c r="F48" s="5">
        <v>6.3</v>
      </c>
      <c r="G48" s="5">
        <f>IF(OR(Compras[[#This Row],[Cantidad ]]="",Compras[[#This Row],[Costo]]=""),"-",Compras[[#This Row],[Cantidad ]]*Compras[[#This Row],[Costo]])</f>
        <v>31.5</v>
      </c>
      <c r="H48" s="9">
        <v>0.1913</v>
      </c>
      <c r="I48" s="7">
        <f>IF(OR(Compras[[#This Row],[Pre-Total ]]="",Compras[[#This Row],[Impuesto]]=""),"-",Compras[[#This Row],[Pre-Total ]]+Compras[[#This Row],[Cantidad ]]*Compras[[#This Row],[Impuesto]])</f>
        <v>32.456499999999998</v>
      </c>
      <c r="J48" s="7">
        <f>Compras[[#This Row],[Total]]/Compras[[#This Row],[Cantidad ]]</f>
        <v>6.4912999999999998</v>
      </c>
      <c r="K48" s="8"/>
    </row>
    <row r="49" spans="1:11" x14ac:dyDescent="0.25">
      <c r="A49" s="3" t="s">
        <v>124</v>
      </c>
      <c r="B49" s="3" t="s">
        <v>135</v>
      </c>
      <c r="C49" s="4">
        <v>46175</v>
      </c>
      <c r="D49" s="4" t="s">
        <v>60</v>
      </c>
      <c r="E49" s="3">
        <v>5</v>
      </c>
      <c r="F49" s="5">
        <v>5.81</v>
      </c>
      <c r="G49" s="5">
        <f>IF(OR(Compras[[#This Row],[Cantidad ]]="",Compras[[#This Row],[Costo]]=""),"-",Compras[[#This Row],[Cantidad ]]*Compras[[#This Row],[Costo]])</f>
        <v>29.049999999999997</v>
      </c>
      <c r="H49" s="9">
        <v>0.1913</v>
      </c>
      <c r="I49" s="7">
        <f>IF(OR(Compras[[#This Row],[Pre-Total ]]="",Compras[[#This Row],[Impuesto]]=""),"-",Compras[[#This Row],[Pre-Total ]]+Compras[[#This Row],[Cantidad ]]*Compras[[#This Row],[Impuesto]])</f>
        <v>30.006499999999996</v>
      </c>
      <c r="J49" s="7">
        <f>Compras[[#This Row],[Total]]/Compras[[#This Row],[Cantidad ]]</f>
        <v>6.0012999999999987</v>
      </c>
      <c r="K49" s="8"/>
    </row>
    <row r="50" spans="1:11" x14ac:dyDescent="0.25">
      <c r="A50" s="3" t="s">
        <v>124</v>
      </c>
      <c r="B50" s="3" t="s">
        <v>136</v>
      </c>
      <c r="C50" s="4">
        <v>46175</v>
      </c>
      <c r="D50" s="4" t="s">
        <v>61</v>
      </c>
      <c r="E50" s="3">
        <v>20</v>
      </c>
      <c r="F50" s="5">
        <v>4.2</v>
      </c>
      <c r="G50" s="5">
        <f>IF(OR(Compras[[#This Row],[Cantidad ]]="",Compras[[#This Row],[Costo]]=""),"-",Compras[[#This Row],[Cantidad ]]*Compras[[#This Row],[Costo]])</f>
        <v>84</v>
      </c>
      <c r="H50" s="9">
        <v>0.1913</v>
      </c>
      <c r="I50" s="7">
        <f>IF(OR(Compras[[#This Row],[Pre-Total ]]="",Compras[[#This Row],[Impuesto]]=""),"-",Compras[[#This Row],[Pre-Total ]]+Compras[[#This Row],[Cantidad ]]*Compras[[#This Row],[Impuesto]])</f>
        <v>87.825999999999993</v>
      </c>
      <c r="J50" s="7">
        <f>Compras[[#This Row],[Total]]/Compras[[#This Row],[Cantidad ]]</f>
        <v>4.3912999999999993</v>
      </c>
      <c r="K50" s="8"/>
    </row>
    <row r="51" spans="1:11" x14ac:dyDescent="0.25">
      <c r="A51" s="3" t="s">
        <v>124</v>
      </c>
      <c r="B51" s="3" t="s">
        <v>137</v>
      </c>
      <c r="C51" s="4">
        <v>46175</v>
      </c>
      <c r="D51" s="4" t="s">
        <v>62</v>
      </c>
      <c r="E51" s="3">
        <v>50</v>
      </c>
      <c r="F51" s="5">
        <v>0.81</v>
      </c>
      <c r="G51" s="5">
        <f>IF(OR(Compras[[#This Row],[Cantidad ]]="",Compras[[#This Row],[Costo]]=""),"-",Compras[[#This Row],[Cantidad ]]*Compras[[#This Row],[Costo]])</f>
        <v>40.5</v>
      </c>
      <c r="H51" s="9">
        <v>0.1913</v>
      </c>
      <c r="I51" s="7">
        <f>IF(OR(Compras[[#This Row],[Pre-Total ]]="",Compras[[#This Row],[Impuesto]]=""),"-",Compras[[#This Row],[Pre-Total ]]+Compras[[#This Row],[Cantidad ]]*Compras[[#This Row],[Impuesto]])</f>
        <v>50.064999999999998</v>
      </c>
      <c r="J51" s="7">
        <f>Compras[[#This Row],[Total]]/Compras[[#This Row],[Cantidad ]]</f>
        <v>1.0012999999999999</v>
      </c>
      <c r="K51" s="8"/>
    </row>
    <row r="52" spans="1:11" x14ac:dyDescent="0.25">
      <c r="A52" s="3" t="s">
        <v>124</v>
      </c>
      <c r="B52" s="3" t="s">
        <v>138</v>
      </c>
      <c r="C52" s="4">
        <v>46175</v>
      </c>
      <c r="D52" s="4" t="s">
        <v>63</v>
      </c>
      <c r="E52" s="3">
        <v>50</v>
      </c>
      <c r="F52" s="5">
        <v>0.81</v>
      </c>
      <c r="G52" s="5">
        <f>IF(OR(Compras[[#This Row],[Cantidad ]]="",Compras[[#This Row],[Costo]]=""),"-",Compras[[#This Row],[Cantidad ]]*Compras[[#This Row],[Costo]])</f>
        <v>40.5</v>
      </c>
      <c r="H52" s="9">
        <v>0.1913</v>
      </c>
      <c r="I52" s="7">
        <f>IF(OR(Compras[[#This Row],[Pre-Total ]]="",Compras[[#This Row],[Impuesto]]=""),"-",Compras[[#This Row],[Pre-Total ]]+Compras[[#This Row],[Cantidad ]]*Compras[[#This Row],[Impuesto]])</f>
        <v>50.064999999999998</v>
      </c>
      <c r="J52" s="7">
        <f>Compras[[#This Row],[Total]]/Compras[[#This Row],[Cantidad ]]</f>
        <v>1.0012999999999999</v>
      </c>
      <c r="K52" s="8"/>
    </row>
    <row r="53" spans="1:11" x14ac:dyDescent="0.25">
      <c r="A53" s="3" t="s">
        <v>124</v>
      </c>
      <c r="B53" s="3" t="s">
        <v>139</v>
      </c>
      <c r="C53" s="4">
        <v>46175</v>
      </c>
      <c r="D53" s="4" t="s">
        <v>64</v>
      </c>
      <c r="E53" s="3">
        <v>50</v>
      </c>
      <c r="F53" s="5">
        <v>0.65</v>
      </c>
      <c r="G53" s="5">
        <f>IF(OR(Compras[[#This Row],[Cantidad ]]="",Compras[[#This Row],[Costo]]=""),"-",Compras[[#This Row],[Cantidad ]]*Compras[[#This Row],[Costo]])</f>
        <v>32.5</v>
      </c>
      <c r="H53" s="9">
        <v>0.1913</v>
      </c>
      <c r="I53" s="7">
        <f>IF(OR(Compras[[#This Row],[Pre-Total ]]="",Compras[[#This Row],[Impuesto]]=""),"-",Compras[[#This Row],[Pre-Total ]]+Compras[[#This Row],[Cantidad ]]*Compras[[#This Row],[Impuesto]])</f>
        <v>42.064999999999998</v>
      </c>
      <c r="J53" s="7">
        <f>Compras[[#This Row],[Total]]/Compras[[#This Row],[Cantidad ]]</f>
        <v>0.84129999999999994</v>
      </c>
      <c r="K53" s="8"/>
    </row>
    <row r="54" spans="1:11" x14ac:dyDescent="0.25">
      <c r="A54" s="3" t="s">
        <v>124</v>
      </c>
      <c r="B54" s="3" t="s">
        <v>140</v>
      </c>
      <c r="C54" s="4">
        <v>46175</v>
      </c>
      <c r="D54" s="4" t="s">
        <v>65</v>
      </c>
      <c r="E54" s="3">
        <v>50</v>
      </c>
      <c r="F54" s="5">
        <v>0.65</v>
      </c>
      <c r="G54" s="5">
        <f>IF(OR(Compras[[#This Row],[Cantidad ]]="",Compras[[#This Row],[Costo]]=""),"-",Compras[[#This Row],[Cantidad ]]*Compras[[#This Row],[Costo]])</f>
        <v>32.5</v>
      </c>
      <c r="H54" s="9">
        <v>0.1913</v>
      </c>
      <c r="I54" s="7">
        <f>IF(OR(Compras[[#This Row],[Pre-Total ]]="",Compras[[#This Row],[Impuesto]]=""),"-",Compras[[#This Row],[Pre-Total ]]+Compras[[#This Row],[Cantidad ]]*Compras[[#This Row],[Impuesto]])</f>
        <v>42.064999999999998</v>
      </c>
      <c r="J54" s="7">
        <f>Compras[[#This Row],[Total]]/Compras[[#This Row],[Cantidad ]]</f>
        <v>0.84129999999999994</v>
      </c>
      <c r="K54" s="8"/>
    </row>
    <row r="55" spans="1:11" x14ac:dyDescent="0.25">
      <c r="A55" s="3" t="s">
        <v>108</v>
      </c>
      <c r="B55" s="3" t="s">
        <v>141</v>
      </c>
      <c r="C55" s="4">
        <v>46177</v>
      </c>
      <c r="D55" s="4" t="s">
        <v>142</v>
      </c>
      <c r="E55" s="3">
        <v>10</v>
      </c>
      <c r="F55" s="5">
        <v>30</v>
      </c>
      <c r="G55" s="5">
        <f>IF(OR(Compras[[#This Row],[Cantidad ]]="",Compras[[#This Row],[Costo]]=""),"-",Compras[[#This Row],[Cantidad ]]*Compras[[#This Row],[Costo]])</f>
        <v>300</v>
      </c>
      <c r="H55" s="9">
        <v>1.6046</v>
      </c>
      <c r="I55" s="7">
        <f>IF(OR(Compras[[#This Row],[Pre-Total ]]="",Compras[[#This Row],[Impuesto]]=""),"-",Compras[[#This Row],[Pre-Total ]]+Compras[[#This Row],[Cantidad ]]*Compras[[#This Row],[Impuesto]])</f>
        <v>316.04599999999999</v>
      </c>
      <c r="J55" s="7">
        <f>Compras[[#This Row],[Total]]/Compras[[#This Row],[Cantidad ]]</f>
        <v>31.604599999999998</v>
      </c>
      <c r="K55" s="8"/>
    </row>
    <row r="56" spans="1:11" x14ac:dyDescent="0.25">
      <c r="A56" s="3" t="s">
        <v>108</v>
      </c>
      <c r="B56" s="3" t="s">
        <v>149</v>
      </c>
      <c r="C56" s="4">
        <v>46177</v>
      </c>
      <c r="D56" s="4" t="s">
        <v>143</v>
      </c>
      <c r="E56" s="3">
        <v>5</v>
      </c>
      <c r="F56" s="5">
        <v>65</v>
      </c>
      <c r="G56" s="5">
        <f>IF(OR(Compras[[#This Row],[Cantidad ]]="",Compras[[#This Row],[Costo]]=""),"-",Compras[[#This Row],[Cantidad ]]*Compras[[#This Row],[Costo]])</f>
        <v>325</v>
      </c>
      <c r="H56" s="9">
        <v>1.6046</v>
      </c>
      <c r="I56" s="7">
        <f>IF(OR(Compras[[#This Row],[Pre-Total ]]="",Compras[[#This Row],[Impuesto]]=""),"-",Compras[[#This Row],[Pre-Total ]]+Compras[[#This Row],[Cantidad ]]*Compras[[#This Row],[Impuesto]])</f>
        <v>333.02300000000002</v>
      </c>
      <c r="J56" s="7">
        <f>Compras[[#This Row],[Total]]/Compras[[#This Row],[Cantidad ]]</f>
        <v>66.604600000000005</v>
      </c>
      <c r="K56" s="8"/>
    </row>
    <row r="57" spans="1:11" x14ac:dyDescent="0.25">
      <c r="A57" s="3" t="s">
        <v>108</v>
      </c>
      <c r="B57" s="3" t="s">
        <v>150</v>
      </c>
      <c r="C57" s="4">
        <v>46177</v>
      </c>
      <c r="D57" s="4" t="s">
        <v>146</v>
      </c>
      <c r="E57" s="3">
        <v>5</v>
      </c>
      <c r="F57" s="5">
        <v>50</v>
      </c>
      <c r="G57" s="5">
        <f>IF(OR(Compras[[#This Row],[Cantidad ]]="",Compras[[#This Row],[Costo]]=""),"-",Compras[[#This Row],[Cantidad ]]*Compras[[#This Row],[Costo]])</f>
        <v>250</v>
      </c>
      <c r="H57" s="9">
        <v>1.6046</v>
      </c>
      <c r="I57" s="7">
        <f>IF(OR(Compras[[#This Row],[Pre-Total ]]="",Compras[[#This Row],[Impuesto]]=""),"-",Compras[[#This Row],[Pre-Total ]]+Compras[[#This Row],[Cantidad ]]*Compras[[#This Row],[Impuesto]])</f>
        <v>258.02300000000002</v>
      </c>
      <c r="J57" s="7">
        <f>Compras[[#This Row],[Total]]/Compras[[#This Row],[Cantidad ]]</f>
        <v>51.604600000000005</v>
      </c>
      <c r="K57" s="8"/>
    </row>
    <row r="58" spans="1:11" x14ac:dyDescent="0.25">
      <c r="A58" s="3" t="s">
        <v>108</v>
      </c>
      <c r="B58" s="3" t="s">
        <v>151</v>
      </c>
      <c r="C58" s="4">
        <v>46177</v>
      </c>
      <c r="D58" s="4" t="s">
        <v>144</v>
      </c>
      <c r="E58" s="3">
        <v>5</v>
      </c>
      <c r="F58" s="5">
        <v>65</v>
      </c>
      <c r="G58" s="5">
        <f>IF(OR(Compras[[#This Row],[Cantidad ]]="",Compras[[#This Row],[Costo]]=""),"-",Compras[[#This Row],[Cantidad ]]*Compras[[#This Row],[Costo]])</f>
        <v>325</v>
      </c>
      <c r="H58" s="9">
        <v>1.6046</v>
      </c>
      <c r="I58" s="7">
        <f>IF(OR(Compras[[#This Row],[Pre-Total ]]="",Compras[[#This Row],[Impuesto]]=""),"-",Compras[[#This Row],[Pre-Total ]]+Compras[[#This Row],[Cantidad ]]*Compras[[#This Row],[Impuesto]])</f>
        <v>333.02300000000002</v>
      </c>
      <c r="J58" s="7">
        <f>Compras[[#This Row],[Total]]/Compras[[#This Row],[Cantidad ]]</f>
        <v>66.604600000000005</v>
      </c>
      <c r="K58" s="8"/>
    </row>
    <row r="59" spans="1:11" x14ac:dyDescent="0.25">
      <c r="A59" s="3" t="s">
        <v>108</v>
      </c>
      <c r="B59" s="3" t="s">
        <v>152</v>
      </c>
      <c r="C59" s="4">
        <v>46177</v>
      </c>
      <c r="D59" s="4" t="s">
        <v>145</v>
      </c>
      <c r="E59" s="3">
        <v>5</v>
      </c>
      <c r="F59" s="5">
        <v>60</v>
      </c>
      <c r="G59" s="5">
        <f>IF(OR(Compras[[#This Row],[Cantidad ]]="",Compras[[#This Row],[Costo]]=""),"-",Compras[[#This Row],[Cantidad ]]*Compras[[#This Row],[Costo]])</f>
        <v>300</v>
      </c>
      <c r="H59" s="9">
        <v>1.6046</v>
      </c>
      <c r="I59" s="7">
        <f>IF(OR(Compras[[#This Row],[Pre-Total ]]="",Compras[[#This Row],[Impuesto]]=""),"-",Compras[[#This Row],[Pre-Total ]]+Compras[[#This Row],[Cantidad ]]*Compras[[#This Row],[Impuesto]])</f>
        <v>308.02300000000002</v>
      </c>
      <c r="J59" s="7">
        <f>Compras[[#This Row],[Total]]/Compras[[#This Row],[Cantidad ]]</f>
        <v>61.604600000000005</v>
      </c>
      <c r="K59" s="8"/>
    </row>
    <row r="60" spans="1:11" x14ac:dyDescent="0.25">
      <c r="A60" s="3" t="s">
        <v>108</v>
      </c>
      <c r="B60" s="3" t="s">
        <v>153</v>
      </c>
      <c r="C60" s="4">
        <v>46177</v>
      </c>
      <c r="D60" s="4" t="s">
        <v>147</v>
      </c>
      <c r="E60" s="3">
        <v>2</v>
      </c>
      <c r="F60" s="5">
        <v>80</v>
      </c>
      <c r="G60" s="5">
        <f>IF(OR(Compras[[#This Row],[Cantidad ]]="",Compras[[#This Row],[Costo]]=""),"-",Compras[[#This Row],[Cantidad ]]*Compras[[#This Row],[Costo]])</f>
        <v>160</v>
      </c>
      <c r="H60" s="9">
        <v>1.6046</v>
      </c>
      <c r="I60" s="7">
        <f>IF(OR(Compras[[#This Row],[Pre-Total ]]="",Compras[[#This Row],[Impuesto]]=""),"-",Compras[[#This Row],[Pre-Total ]]+Compras[[#This Row],[Cantidad ]]*Compras[[#This Row],[Impuesto]])</f>
        <v>163.20920000000001</v>
      </c>
      <c r="J60" s="7">
        <f>Compras[[#This Row],[Total]]/Compras[[#This Row],[Cantidad ]]</f>
        <v>81.604600000000005</v>
      </c>
      <c r="K60" s="8"/>
    </row>
    <row r="61" spans="1:11" x14ac:dyDescent="0.25">
      <c r="A61" s="3" t="s">
        <v>148</v>
      </c>
      <c r="B61" s="3" t="s">
        <v>154</v>
      </c>
      <c r="C61" s="4">
        <v>46177</v>
      </c>
      <c r="D61" s="4" t="s">
        <v>25</v>
      </c>
      <c r="E61" s="3">
        <v>1</v>
      </c>
      <c r="F61" s="5">
        <v>24.13</v>
      </c>
      <c r="G61" s="5">
        <f>IF(OR(Compras[[#This Row],[Cantidad ]]="",Compras[[#This Row],[Costo]]=""),"-",Compras[[#This Row],[Cantidad ]]*Compras[[#This Row],[Costo]])</f>
        <v>24.13</v>
      </c>
      <c r="H61" s="9">
        <v>0.2984</v>
      </c>
      <c r="I61" s="7">
        <f>IF(OR(Compras[[#This Row],[Pre-Total ]]="",Compras[[#This Row],[Impuesto]]=""),"-",Compras[[#This Row],[Pre-Total ]]+Compras[[#This Row],[Cantidad ]]*Compras[[#This Row],[Impuesto]])</f>
        <v>24.4284</v>
      </c>
      <c r="J61" s="7">
        <f>Compras[[#This Row],[Total]]/Compras[[#This Row],[Cantidad ]]</f>
        <v>24.4284</v>
      </c>
      <c r="K61" s="8"/>
    </row>
    <row r="62" spans="1:11" x14ac:dyDescent="0.25">
      <c r="A62" s="3" t="s">
        <v>148</v>
      </c>
      <c r="B62" s="3" t="s">
        <v>155</v>
      </c>
      <c r="C62" s="4">
        <v>46177</v>
      </c>
      <c r="D62" s="4" t="s">
        <v>26</v>
      </c>
      <c r="E62" s="3">
        <v>1</v>
      </c>
      <c r="F62" s="5">
        <v>25.72</v>
      </c>
      <c r="G62" s="5">
        <f>IF(OR(Compras[[#This Row],[Cantidad ]]="",Compras[[#This Row],[Costo]]=""),"-",Compras[[#This Row],[Cantidad ]]*Compras[[#This Row],[Costo]])</f>
        <v>25.72</v>
      </c>
      <c r="H62" s="9">
        <v>0.2984</v>
      </c>
      <c r="I62" s="7">
        <f>IF(OR(Compras[[#This Row],[Pre-Total ]]="",Compras[[#This Row],[Impuesto]]=""),"-",Compras[[#This Row],[Pre-Total ]]+Compras[[#This Row],[Cantidad ]]*Compras[[#This Row],[Impuesto]])</f>
        <v>26.0184</v>
      </c>
      <c r="J62" s="7">
        <f>Compras[[#This Row],[Total]]/Compras[[#This Row],[Cantidad ]]</f>
        <v>26.0184</v>
      </c>
      <c r="K62" s="8"/>
    </row>
    <row r="63" spans="1:11" x14ac:dyDescent="0.25">
      <c r="A63" s="3" t="s">
        <v>148</v>
      </c>
      <c r="B63" s="3" t="s">
        <v>156</v>
      </c>
      <c r="C63" s="4">
        <v>46177</v>
      </c>
      <c r="D63" s="4" t="s">
        <v>172</v>
      </c>
      <c r="E63" s="3">
        <v>5</v>
      </c>
      <c r="F63" s="5">
        <v>24.77</v>
      </c>
      <c r="G63" s="5">
        <f>IF(OR(Compras[[#This Row],[Cantidad ]]="",Compras[[#This Row],[Costo]]=""),"-",Compras[[#This Row],[Cantidad ]]*Compras[[#This Row],[Costo]])</f>
        <v>123.85</v>
      </c>
      <c r="H63" s="9">
        <v>0.2984</v>
      </c>
      <c r="I63" s="7">
        <f>IF(OR(Compras[[#This Row],[Pre-Total ]]="",Compras[[#This Row],[Impuesto]]=""),"-",Compras[[#This Row],[Pre-Total ]]+Compras[[#This Row],[Cantidad ]]*Compras[[#This Row],[Impuesto]])</f>
        <v>125.342</v>
      </c>
      <c r="J63" s="7">
        <f>Compras[[#This Row],[Total]]/Compras[[#This Row],[Cantidad ]]</f>
        <v>25.0684</v>
      </c>
      <c r="K63" s="8"/>
    </row>
    <row r="64" spans="1:11" x14ac:dyDescent="0.25">
      <c r="A64" s="3" t="s">
        <v>148</v>
      </c>
      <c r="B64" s="3" t="s">
        <v>157</v>
      </c>
      <c r="C64" s="4">
        <v>46177</v>
      </c>
      <c r="D64" s="4" t="s">
        <v>27</v>
      </c>
      <c r="E64" s="3">
        <v>5</v>
      </c>
      <c r="F64" s="5">
        <v>26.35</v>
      </c>
      <c r="G64" s="5">
        <f>IF(OR(Compras[[#This Row],[Cantidad ]]="",Compras[[#This Row],[Costo]]=""),"-",Compras[[#This Row],[Cantidad ]]*Compras[[#This Row],[Costo]])</f>
        <v>131.75</v>
      </c>
      <c r="H64" s="9">
        <v>0.2984</v>
      </c>
      <c r="I64" s="7">
        <f>IF(OR(Compras[[#This Row],[Pre-Total ]]="",Compras[[#This Row],[Impuesto]]=""),"-",Compras[[#This Row],[Pre-Total ]]+Compras[[#This Row],[Cantidad ]]*Compras[[#This Row],[Impuesto]])</f>
        <v>133.24199999999999</v>
      </c>
      <c r="J64" s="7">
        <f>Compras[[#This Row],[Total]]/Compras[[#This Row],[Cantidad ]]</f>
        <v>26.648399999999999</v>
      </c>
      <c r="K64" s="8"/>
    </row>
    <row r="65" spans="1:11" x14ac:dyDescent="0.25">
      <c r="A65" s="3" t="s">
        <v>148</v>
      </c>
      <c r="B65" s="3" t="s">
        <v>158</v>
      </c>
      <c r="C65" s="4">
        <v>46177</v>
      </c>
      <c r="D65" s="4" t="s">
        <v>29</v>
      </c>
      <c r="E65" s="3">
        <v>1</v>
      </c>
      <c r="F65" s="5">
        <v>34.130000000000003</v>
      </c>
      <c r="G65" s="5">
        <f>IF(OR(Compras[[#This Row],[Cantidad ]]="",Compras[[#This Row],[Costo]]=""),"-",Compras[[#This Row],[Cantidad ]]*Compras[[#This Row],[Costo]])</f>
        <v>34.130000000000003</v>
      </c>
      <c r="H65" s="9">
        <v>0.2984</v>
      </c>
      <c r="I65" s="7">
        <f>IF(OR(Compras[[#This Row],[Pre-Total ]]="",Compras[[#This Row],[Impuesto]]=""),"-",Compras[[#This Row],[Pre-Total ]]+Compras[[#This Row],[Cantidad ]]*Compras[[#This Row],[Impuesto]])</f>
        <v>34.428400000000003</v>
      </c>
      <c r="J65" s="7">
        <f>Compras[[#This Row],[Total]]/Compras[[#This Row],[Cantidad ]]</f>
        <v>34.428400000000003</v>
      </c>
      <c r="K65" s="8"/>
    </row>
    <row r="66" spans="1:11" x14ac:dyDescent="0.25">
      <c r="A66" s="3" t="s">
        <v>148</v>
      </c>
      <c r="B66" s="3" t="s">
        <v>159</v>
      </c>
      <c r="C66" s="4">
        <v>46177</v>
      </c>
      <c r="D66" s="4" t="s">
        <v>28</v>
      </c>
      <c r="E66" s="3">
        <v>1</v>
      </c>
      <c r="F66" s="5">
        <v>32.54</v>
      </c>
      <c r="G66" s="5">
        <f>IF(OR(Compras[[#This Row],[Cantidad ]]="",Compras[[#This Row],[Costo]]=""),"-",Compras[[#This Row],[Cantidad ]]*Compras[[#This Row],[Costo]])</f>
        <v>32.54</v>
      </c>
      <c r="H66" s="9">
        <v>0.2984</v>
      </c>
      <c r="I66" s="7">
        <f>IF(OR(Compras[[#This Row],[Pre-Total ]]="",Compras[[#This Row],[Impuesto]]=""),"-",Compras[[#This Row],[Pre-Total ]]+Compras[[#This Row],[Cantidad ]]*Compras[[#This Row],[Impuesto]])</f>
        <v>32.8384</v>
      </c>
      <c r="J66" s="7">
        <f>Compras[[#This Row],[Total]]/Compras[[#This Row],[Cantidad ]]</f>
        <v>32.8384</v>
      </c>
      <c r="K66" s="8"/>
    </row>
    <row r="67" spans="1:11" x14ac:dyDescent="0.25">
      <c r="A67" s="3" t="s">
        <v>148</v>
      </c>
      <c r="B67" s="3" t="s">
        <v>160</v>
      </c>
      <c r="C67" s="4">
        <v>46177</v>
      </c>
      <c r="D67" s="4" t="s">
        <v>30</v>
      </c>
      <c r="E67" s="3">
        <v>1</v>
      </c>
      <c r="F67" s="5">
        <v>34.130000000000003</v>
      </c>
      <c r="G67" s="5">
        <f>IF(OR(Compras[[#This Row],[Cantidad ]]="",Compras[[#This Row],[Costo]]=""),"-",Compras[[#This Row],[Cantidad ]]*Compras[[#This Row],[Costo]])</f>
        <v>34.130000000000003</v>
      </c>
      <c r="H67" s="9">
        <v>0.2984</v>
      </c>
      <c r="I67" s="7">
        <f>IF(OR(Compras[[#This Row],[Pre-Total ]]="",Compras[[#This Row],[Impuesto]]=""),"-",Compras[[#This Row],[Pre-Total ]]+Compras[[#This Row],[Cantidad ]]*Compras[[#This Row],[Impuesto]])</f>
        <v>34.428400000000003</v>
      </c>
      <c r="J67" s="7">
        <f>Compras[[#This Row],[Total]]/Compras[[#This Row],[Cantidad ]]</f>
        <v>34.428400000000003</v>
      </c>
      <c r="K67" s="8"/>
    </row>
    <row r="68" spans="1:11" x14ac:dyDescent="0.25">
      <c r="A68" s="3" t="s">
        <v>148</v>
      </c>
      <c r="B68" s="3" t="s">
        <v>161</v>
      </c>
      <c r="C68" s="4">
        <v>46177</v>
      </c>
      <c r="D68" s="4" t="s">
        <v>31</v>
      </c>
      <c r="E68" s="3">
        <v>1</v>
      </c>
      <c r="F68" s="5">
        <v>32.54</v>
      </c>
      <c r="G68" s="5">
        <f>IF(OR(Compras[[#This Row],[Cantidad ]]="",Compras[[#This Row],[Costo]]=""),"-",Compras[[#This Row],[Cantidad ]]*Compras[[#This Row],[Costo]])</f>
        <v>32.54</v>
      </c>
      <c r="H68" s="9">
        <v>0.2984</v>
      </c>
      <c r="I68" s="7">
        <f>IF(OR(Compras[[#This Row],[Pre-Total ]]="",Compras[[#This Row],[Impuesto]]=""),"-",Compras[[#This Row],[Pre-Total ]]+Compras[[#This Row],[Cantidad ]]*Compras[[#This Row],[Impuesto]])</f>
        <v>32.8384</v>
      </c>
      <c r="J68" s="7">
        <f>Compras[[#This Row],[Total]]/Compras[[#This Row],[Cantidad ]]</f>
        <v>32.8384</v>
      </c>
      <c r="K68" s="8"/>
    </row>
    <row r="69" spans="1:11" x14ac:dyDescent="0.25">
      <c r="A69" s="3" t="s">
        <v>148</v>
      </c>
      <c r="B69" s="3" t="s">
        <v>162</v>
      </c>
      <c r="C69" s="4">
        <v>46177</v>
      </c>
      <c r="D69" s="4" t="s">
        <v>32</v>
      </c>
      <c r="E69" s="3">
        <v>5</v>
      </c>
      <c r="F69" s="5">
        <v>7.26</v>
      </c>
      <c r="G69" s="5">
        <f>IF(OR(Compras[[#This Row],[Cantidad ]]="",Compras[[#This Row],[Costo]]=""),"-",Compras[[#This Row],[Cantidad ]]*Compras[[#This Row],[Costo]])</f>
        <v>36.299999999999997</v>
      </c>
      <c r="H69" s="9">
        <v>0.2984</v>
      </c>
      <c r="I69" s="7">
        <f>IF(OR(Compras[[#This Row],[Pre-Total ]]="",Compras[[#This Row],[Impuesto]]=""),"-",Compras[[#This Row],[Pre-Total ]]+Compras[[#This Row],[Cantidad ]]*Compras[[#This Row],[Impuesto]])</f>
        <v>37.791999999999994</v>
      </c>
      <c r="J69" s="7">
        <f>Compras[[#This Row],[Total]]/Compras[[#This Row],[Cantidad ]]</f>
        <v>7.5583999999999989</v>
      </c>
      <c r="K69" s="8"/>
    </row>
    <row r="70" spans="1:11" x14ac:dyDescent="0.25">
      <c r="A70" s="3" t="s">
        <v>148</v>
      </c>
      <c r="B70" s="3" t="s">
        <v>163</v>
      </c>
      <c r="C70" s="4">
        <v>46177</v>
      </c>
      <c r="D70" s="4" t="s">
        <v>34</v>
      </c>
      <c r="E70" s="3">
        <v>20</v>
      </c>
      <c r="F70" s="5">
        <v>9.44</v>
      </c>
      <c r="G70" s="5">
        <f>IF(OR(Compras[[#This Row],[Cantidad ]]="",Compras[[#This Row],[Costo]]=""),"-",Compras[[#This Row],[Cantidad ]]*Compras[[#This Row],[Costo]])</f>
        <v>188.79999999999998</v>
      </c>
      <c r="H70" s="9">
        <v>0.2984</v>
      </c>
      <c r="I70" s="7">
        <f>IF(OR(Compras[[#This Row],[Pre-Total ]]="",Compras[[#This Row],[Impuesto]]=""),"-",Compras[[#This Row],[Pre-Total ]]+Compras[[#This Row],[Cantidad ]]*Compras[[#This Row],[Impuesto]])</f>
        <v>194.76799999999997</v>
      </c>
      <c r="J70" s="7">
        <f>Compras[[#This Row],[Total]]/Compras[[#This Row],[Cantidad ]]</f>
        <v>9.7383999999999986</v>
      </c>
      <c r="K70" s="8"/>
    </row>
    <row r="71" spans="1:11" x14ac:dyDescent="0.25">
      <c r="A71" s="3" t="s">
        <v>148</v>
      </c>
      <c r="B71" s="3" t="s">
        <v>164</v>
      </c>
      <c r="C71" s="4">
        <v>46177</v>
      </c>
      <c r="D71" s="4" t="s">
        <v>33</v>
      </c>
      <c r="E71" s="3">
        <v>5</v>
      </c>
      <c r="F71" s="5">
        <v>8.74</v>
      </c>
      <c r="G71" s="5">
        <f>IF(OR(Compras[[#This Row],[Cantidad ]]="",Compras[[#This Row],[Costo]]=""),"-",Compras[[#This Row],[Cantidad ]]*Compras[[#This Row],[Costo]])</f>
        <v>43.7</v>
      </c>
      <c r="H71" s="9">
        <v>0.2984</v>
      </c>
      <c r="I71" s="7">
        <f>IF(OR(Compras[[#This Row],[Pre-Total ]]="",Compras[[#This Row],[Impuesto]]=""),"-",Compras[[#This Row],[Pre-Total ]]+Compras[[#This Row],[Cantidad ]]*Compras[[#This Row],[Impuesto]])</f>
        <v>45.192</v>
      </c>
      <c r="J71" s="7">
        <f>Compras[[#This Row],[Total]]/Compras[[#This Row],[Cantidad ]]</f>
        <v>9.0383999999999993</v>
      </c>
      <c r="K71" s="8"/>
    </row>
    <row r="72" spans="1:11" x14ac:dyDescent="0.25">
      <c r="A72" s="3" t="s">
        <v>148</v>
      </c>
      <c r="B72" s="3" t="s">
        <v>165</v>
      </c>
      <c r="C72" s="4">
        <v>46177</v>
      </c>
      <c r="D72" s="4" t="s">
        <v>35</v>
      </c>
      <c r="E72" s="3">
        <v>50</v>
      </c>
      <c r="F72" s="5">
        <v>11.05</v>
      </c>
      <c r="G72" s="5">
        <f>IF(OR(Compras[[#This Row],[Cantidad ]]="",Compras[[#This Row],[Costo]]=""),"-",Compras[[#This Row],[Cantidad ]]*Compras[[#This Row],[Costo]])</f>
        <v>552.5</v>
      </c>
      <c r="H72" s="9">
        <v>0.2984</v>
      </c>
      <c r="I72" s="7">
        <f>IF(OR(Compras[[#This Row],[Pre-Total ]]="",Compras[[#This Row],[Impuesto]]=""),"-",Compras[[#This Row],[Pre-Total ]]+Compras[[#This Row],[Cantidad ]]*Compras[[#This Row],[Impuesto]])</f>
        <v>567.41999999999996</v>
      </c>
      <c r="J72" s="7">
        <f>Compras[[#This Row],[Total]]/Compras[[#This Row],[Cantidad ]]</f>
        <v>11.3484</v>
      </c>
      <c r="K72" s="8"/>
    </row>
    <row r="73" spans="1:11" x14ac:dyDescent="0.25">
      <c r="A73" s="3" t="s">
        <v>148</v>
      </c>
      <c r="B73" s="3" t="s">
        <v>177</v>
      </c>
      <c r="C73" s="4">
        <v>46177</v>
      </c>
      <c r="D73" s="4" t="s">
        <v>36</v>
      </c>
      <c r="E73" s="3">
        <v>5</v>
      </c>
      <c r="F73" s="5">
        <v>10.32</v>
      </c>
      <c r="G73" s="5">
        <f>IF(OR(Compras[[#This Row],[Cantidad ]]="",Compras[[#This Row],[Costo]]=""),"-",Compras[[#This Row],[Cantidad ]]*Compras[[#This Row],[Costo]])</f>
        <v>51.6</v>
      </c>
      <c r="H73" s="9">
        <v>0.2984</v>
      </c>
      <c r="I73" s="7">
        <f>IF(OR(Compras[[#This Row],[Pre-Total ]]="",Compras[[#This Row],[Impuesto]]=""),"-",Compras[[#This Row],[Pre-Total ]]+Compras[[#This Row],[Cantidad ]]*Compras[[#This Row],[Impuesto]])</f>
        <v>53.091999999999999</v>
      </c>
      <c r="J73" s="7">
        <f>Compras[[#This Row],[Total]]/Compras[[#This Row],[Cantidad ]]</f>
        <v>10.618399999999999</v>
      </c>
      <c r="K73" s="8"/>
    </row>
    <row r="74" spans="1:11" x14ac:dyDescent="0.25">
      <c r="A74" s="3" t="s">
        <v>148</v>
      </c>
      <c r="B74" s="3" t="s">
        <v>178</v>
      </c>
      <c r="C74" s="4">
        <v>46177</v>
      </c>
      <c r="D74" s="4" t="s">
        <v>37</v>
      </c>
      <c r="E74" s="3">
        <v>5</v>
      </c>
      <c r="F74" s="5">
        <v>10.32</v>
      </c>
      <c r="G74" s="5">
        <f>IF(OR(Compras[[#This Row],[Cantidad ]]="",Compras[[#This Row],[Costo]]=""),"-",Compras[[#This Row],[Cantidad ]]*Compras[[#This Row],[Costo]])</f>
        <v>51.6</v>
      </c>
      <c r="H74" s="9">
        <v>0.2984</v>
      </c>
      <c r="I74" s="7">
        <f>IF(OR(Compras[[#This Row],[Pre-Total ]]="",Compras[[#This Row],[Impuesto]]=""),"-",Compras[[#This Row],[Pre-Total ]]+Compras[[#This Row],[Cantidad ]]*Compras[[#This Row],[Impuesto]])</f>
        <v>53.091999999999999</v>
      </c>
      <c r="J74" s="7">
        <f>Compras[[#This Row],[Total]]/Compras[[#This Row],[Cantidad ]]</f>
        <v>10.618399999999999</v>
      </c>
      <c r="K74" s="8"/>
    </row>
    <row r="75" spans="1:11" x14ac:dyDescent="0.25">
      <c r="A75" s="3" t="s">
        <v>148</v>
      </c>
      <c r="B75" s="3" t="s">
        <v>179</v>
      </c>
      <c r="C75" s="4">
        <v>46177</v>
      </c>
      <c r="D75" s="4" t="s">
        <v>38</v>
      </c>
      <c r="E75" s="3">
        <v>10</v>
      </c>
      <c r="F75" s="5">
        <v>11.12</v>
      </c>
      <c r="G75" s="5">
        <f>IF(OR(Compras[[#This Row],[Cantidad ]]="",Compras[[#This Row],[Costo]]=""),"-",Compras[[#This Row],[Cantidad ]]*Compras[[#This Row],[Costo]])</f>
        <v>111.19999999999999</v>
      </c>
      <c r="H75" s="9">
        <v>0.2984</v>
      </c>
      <c r="I75" s="7">
        <f>IF(OR(Compras[[#This Row],[Pre-Total ]]="",Compras[[#This Row],[Impuesto]]=""),"-",Compras[[#This Row],[Pre-Total ]]+Compras[[#This Row],[Cantidad ]]*Compras[[#This Row],[Impuesto]])</f>
        <v>114.18399999999998</v>
      </c>
      <c r="J75" s="7">
        <f>Compras[[#This Row],[Total]]/Compras[[#This Row],[Cantidad ]]</f>
        <v>11.418399999999998</v>
      </c>
      <c r="K75" s="8"/>
    </row>
    <row r="76" spans="1:11" x14ac:dyDescent="0.25">
      <c r="A76" s="3" t="s">
        <v>148</v>
      </c>
      <c r="B76" s="3" t="s">
        <v>180</v>
      </c>
      <c r="C76" s="4">
        <v>46177</v>
      </c>
      <c r="D76" s="4" t="s">
        <v>39</v>
      </c>
      <c r="E76" s="3">
        <v>5</v>
      </c>
      <c r="F76" s="5">
        <v>11.91</v>
      </c>
      <c r="G76" s="5">
        <f>IF(OR(Compras[[#This Row],[Cantidad ]]="",Compras[[#This Row],[Costo]]=""),"-",Compras[[#This Row],[Cantidad ]]*Compras[[#This Row],[Costo]])</f>
        <v>59.55</v>
      </c>
      <c r="H76" s="9">
        <v>0.2984</v>
      </c>
      <c r="I76" s="7">
        <f>IF(OR(Compras[[#This Row],[Pre-Total ]]="",Compras[[#This Row],[Impuesto]]=""),"-",Compras[[#This Row],[Pre-Total ]]+Compras[[#This Row],[Cantidad ]]*Compras[[#This Row],[Impuesto]])</f>
        <v>61.041999999999994</v>
      </c>
      <c r="J76" s="7">
        <f>Compras[[#This Row],[Total]]/Compras[[#This Row],[Cantidad ]]</f>
        <v>12.208399999999999</v>
      </c>
      <c r="K76" s="8"/>
    </row>
    <row r="77" spans="1:11" x14ac:dyDescent="0.25">
      <c r="A77" s="3" t="s">
        <v>148</v>
      </c>
      <c r="B77" s="3" t="s">
        <v>181</v>
      </c>
      <c r="C77" s="4">
        <v>46177</v>
      </c>
      <c r="D77" s="4" t="s">
        <v>40</v>
      </c>
      <c r="E77" s="3">
        <v>50</v>
      </c>
      <c r="F77" s="5">
        <v>12.64</v>
      </c>
      <c r="G77" s="5">
        <f>IF(OR(Compras[[#This Row],[Cantidad ]]="",Compras[[#This Row],[Costo]]=""),"-",Compras[[#This Row],[Cantidad ]]*Compras[[#This Row],[Costo]])</f>
        <v>632</v>
      </c>
      <c r="H77" s="9">
        <v>0.2984</v>
      </c>
      <c r="I77" s="7">
        <f>IF(OR(Compras[[#This Row],[Pre-Total ]]="",Compras[[#This Row],[Impuesto]]=""),"-",Compras[[#This Row],[Pre-Total ]]+Compras[[#This Row],[Cantidad ]]*Compras[[#This Row],[Impuesto]])</f>
        <v>646.91999999999996</v>
      </c>
      <c r="J77" s="7">
        <f>Compras[[#This Row],[Total]]/Compras[[#This Row],[Cantidad ]]</f>
        <v>12.9384</v>
      </c>
      <c r="K77" s="8"/>
    </row>
    <row r="78" spans="1:11" x14ac:dyDescent="0.25">
      <c r="A78" s="3" t="s">
        <v>148</v>
      </c>
      <c r="B78" s="3" t="s">
        <v>182</v>
      </c>
      <c r="C78" s="4">
        <v>46177</v>
      </c>
      <c r="D78" s="4" t="s">
        <v>41</v>
      </c>
      <c r="E78" s="3">
        <v>5</v>
      </c>
      <c r="F78" s="5">
        <v>5.88</v>
      </c>
      <c r="G78" s="5">
        <f>IF(OR(Compras[[#This Row],[Cantidad ]]="",Compras[[#This Row],[Costo]]=""),"-",Compras[[#This Row],[Cantidad ]]*Compras[[#This Row],[Costo]])</f>
        <v>29.4</v>
      </c>
      <c r="H78" s="9">
        <v>0.2984</v>
      </c>
      <c r="I78" s="7">
        <f>IF(OR(Compras[[#This Row],[Pre-Total ]]="",Compras[[#This Row],[Impuesto]]=""),"-",Compras[[#This Row],[Pre-Total ]]+Compras[[#This Row],[Cantidad ]]*Compras[[#This Row],[Impuesto]])</f>
        <v>30.891999999999999</v>
      </c>
      <c r="J78" s="7">
        <f>Compras[[#This Row],[Total]]/Compras[[#This Row],[Cantidad ]]</f>
        <v>6.1783999999999999</v>
      </c>
      <c r="K78" s="8"/>
    </row>
    <row r="79" spans="1:11" x14ac:dyDescent="0.25">
      <c r="A79" s="3" t="s">
        <v>148</v>
      </c>
      <c r="B79" s="3" t="s">
        <v>183</v>
      </c>
      <c r="C79" s="4">
        <v>46177</v>
      </c>
      <c r="D79" s="4" t="s">
        <v>173</v>
      </c>
      <c r="E79" s="3">
        <v>25</v>
      </c>
      <c r="F79" s="5">
        <v>6.2</v>
      </c>
      <c r="G79" s="5">
        <f>IF(OR(Compras[[#This Row],[Cantidad ]]="",Compras[[#This Row],[Costo]]=""),"-",Compras[[#This Row],[Cantidad ]]*Compras[[#This Row],[Costo]])</f>
        <v>155</v>
      </c>
      <c r="H79" s="9">
        <v>0.2984</v>
      </c>
      <c r="I79" s="7">
        <f>IF(OR(Compras[[#This Row],[Pre-Total ]]="",Compras[[#This Row],[Impuesto]]=""),"-",Compras[[#This Row],[Pre-Total ]]+Compras[[#This Row],[Cantidad ]]*Compras[[#This Row],[Impuesto]])</f>
        <v>162.46</v>
      </c>
      <c r="J79" s="7">
        <f>Compras[[#This Row],[Total]]/Compras[[#This Row],[Cantidad ]]</f>
        <v>6.4984000000000002</v>
      </c>
      <c r="K79" s="8"/>
    </row>
    <row r="80" spans="1:11" x14ac:dyDescent="0.25">
      <c r="A80" s="3" t="s">
        <v>148</v>
      </c>
      <c r="B80" s="3" t="s">
        <v>184</v>
      </c>
      <c r="C80" s="4">
        <v>46177</v>
      </c>
      <c r="D80" s="4" t="s">
        <v>173</v>
      </c>
      <c r="E80" s="3">
        <v>25</v>
      </c>
      <c r="F80" s="5">
        <v>6.2</v>
      </c>
      <c r="G80" s="5">
        <f>IF(OR(Compras[[#This Row],[Cantidad ]]="",Compras[[#This Row],[Costo]]=""),"-",Compras[[#This Row],[Cantidad ]]*Compras[[#This Row],[Costo]])</f>
        <v>155</v>
      </c>
      <c r="H80" s="9">
        <v>0.2984</v>
      </c>
      <c r="I80" s="7">
        <f>IF(OR(Compras[[#This Row],[Pre-Total ]]="",Compras[[#This Row],[Impuesto]]=""),"-",Compras[[#This Row],[Pre-Total ]]+Compras[[#This Row],[Cantidad ]]*Compras[[#This Row],[Impuesto]])</f>
        <v>162.46</v>
      </c>
      <c r="J80" s="7">
        <f>Compras[[#This Row],[Total]]/Compras[[#This Row],[Cantidad ]]</f>
        <v>6.4984000000000002</v>
      </c>
      <c r="K80" s="8"/>
    </row>
    <row r="81" spans="1:11" x14ac:dyDescent="0.25">
      <c r="A81" s="3" t="s">
        <v>148</v>
      </c>
      <c r="B81" s="3" t="s">
        <v>185</v>
      </c>
      <c r="C81" s="4">
        <v>46177</v>
      </c>
      <c r="D81" s="4" t="s">
        <v>50</v>
      </c>
      <c r="E81" s="3">
        <v>25</v>
      </c>
      <c r="F81" s="5">
        <v>5.16</v>
      </c>
      <c r="G81" s="5">
        <f>IF(OR(Compras[[#This Row],[Cantidad ]]="",Compras[[#This Row],[Costo]]=""),"-",Compras[[#This Row],[Cantidad ]]*Compras[[#This Row],[Costo]])</f>
        <v>129</v>
      </c>
      <c r="H81" s="9">
        <v>0.2984</v>
      </c>
      <c r="I81" s="7">
        <f>IF(OR(Compras[[#This Row],[Pre-Total ]]="",Compras[[#This Row],[Impuesto]]=""),"-",Compras[[#This Row],[Pre-Total ]]+Compras[[#This Row],[Cantidad ]]*Compras[[#This Row],[Impuesto]])</f>
        <v>136.46</v>
      </c>
      <c r="J81" s="7">
        <f>Compras[[#This Row],[Total]]/Compras[[#This Row],[Cantidad ]]</f>
        <v>5.4584000000000001</v>
      </c>
      <c r="K81" s="8"/>
    </row>
    <row r="82" spans="1:11" x14ac:dyDescent="0.25">
      <c r="A82" s="3" t="s">
        <v>148</v>
      </c>
      <c r="B82" s="3" t="s">
        <v>186</v>
      </c>
      <c r="C82" s="4">
        <v>46177</v>
      </c>
      <c r="D82" s="4" t="s">
        <v>51</v>
      </c>
      <c r="E82" s="3">
        <v>25</v>
      </c>
      <c r="F82" s="5">
        <v>5.16</v>
      </c>
      <c r="G82" s="5">
        <f>IF(OR(Compras[[#This Row],[Cantidad ]]="",Compras[[#This Row],[Costo]]=""),"-",Compras[[#This Row],[Cantidad ]]*Compras[[#This Row],[Costo]])</f>
        <v>129</v>
      </c>
      <c r="H82" s="9">
        <v>0.2984</v>
      </c>
      <c r="I82" s="7">
        <f>IF(OR(Compras[[#This Row],[Pre-Total ]]="",Compras[[#This Row],[Impuesto]]=""),"-",Compras[[#This Row],[Pre-Total ]]+Compras[[#This Row],[Cantidad ]]*Compras[[#This Row],[Impuesto]])</f>
        <v>136.46</v>
      </c>
      <c r="J82" s="7">
        <f>Compras[[#This Row],[Total]]/Compras[[#This Row],[Cantidad ]]</f>
        <v>5.4584000000000001</v>
      </c>
      <c r="K82" s="8"/>
    </row>
    <row r="83" spans="1:11" x14ac:dyDescent="0.25">
      <c r="A83" s="3" t="s">
        <v>148</v>
      </c>
      <c r="B83" s="3" t="s">
        <v>187</v>
      </c>
      <c r="C83" s="4">
        <v>46177</v>
      </c>
      <c r="D83" s="4" t="s">
        <v>52</v>
      </c>
      <c r="E83" s="3">
        <v>5</v>
      </c>
      <c r="F83" s="5">
        <v>4.8499999999999996</v>
      </c>
      <c r="G83" s="5">
        <f>IF(OR(Compras[[#This Row],[Cantidad ]]="",Compras[[#This Row],[Costo]]=""),"-",Compras[[#This Row],[Cantidad ]]*Compras[[#This Row],[Costo]])</f>
        <v>24.25</v>
      </c>
      <c r="H83" s="9">
        <v>0.2984</v>
      </c>
      <c r="I83" s="7">
        <f>IF(OR(Compras[[#This Row],[Pre-Total ]]="",Compras[[#This Row],[Impuesto]]=""),"-",Compras[[#This Row],[Pre-Total ]]+Compras[[#This Row],[Cantidad ]]*Compras[[#This Row],[Impuesto]])</f>
        <v>25.742000000000001</v>
      </c>
      <c r="J83" s="7">
        <f>Compras[[#This Row],[Total]]/Compras[[#This Row],[Cantidad ]]</f>
        <v>5.1484000000000005</v>
      </c>
      <c r="K83" s="8"/>
    </row>
    <row r="84" spans="1:11" x14ac:dyDescent="0.25">
      <c r="A84" s="3" t="s">
        <v>148</v>
      </c>
      <c r="B84" s="3" t="s">
        <v>188</v>
      </c>
      <c r="C84" s="4">
        <v>46177</v>
      </c>
      <c r="D84" s="4" t="s">
        <v>42</v>
      </c>
      <c r="E84" s="3">
        <v>10</v>
      </c>
      <c r="F84" s="5">
        <v>11.35</v>
      </c>
      <c r="G84" s="5">
        <f>IF(OR(Compras[[#This Row],[Cantidad ]]="",Compras[[#This Row],[Costo]]=""),"-",Compras[[#This Row],[Cantidad ]]*Compras[[#This Row],[Costo]])</f>
        <v>113.5</v>
      </c>
      <c r="H84" s="9">
        <v>0.2984</v>
      </c>
      <c r="I84" s="7">
        <f>IF(OR(Compras[[#This Row],[Pre-Total ]]="",Compras[[#This Row],[Impuesto]]=""),"-",Compras[[#This Row],[Pre-Total ]]+Compras[[#This Row],[Cantidad ]]*Compras[[#This Row],[Impuesto]])</f>
        <v>116.48399999999999</v>
      </c>
      <c r="J84" s="7">
        <f>Compras[[#This Row],[Total]]/Compras[[#This Row],[Cantidad ]]</f>
        <v>11.648399999999999</v>
      </c>
      <c r="K84" s="8"/>
    </row>
    <row r="85" spans="1:11" x14ac:dyDescent="0.25">
      <c r="A85" s="3" t="s">
        <v>148</v>
      </c>
      <c r="B85" s="3" t="s">
        <v>189</v>
      </c>
      <c r="C85" s="4">
        <v>46177</v>
      </c>
      <c r="D85" s="4" t="s">
        <v>43</v>
      </c>
      <c r="E85" s="3">
        <v>5</v>
      </c>
      <c r="F85" s="5">
        <v>10.64</v>
      </c>
      <c r="G85" s="5">
        <f>IF(OR(Compras[[#This Row],[Cantidad ]]="",Compras[[#This Row],[Costo]]=""),"-",Compras[[#This Row],[Cantidad ]]*Compras[[#This Row],[Costo]])</f>
        <v>53.2</v>
      </c>
      <c r="H85" s="9">
        <v>0.2984</v>
      </c>
      <c r="I85" s="7">
        <f>IF(OR(Compras[[#This Row],[Pre-Total ]]="",Compras[[#This Row],[Impuesto]]=""),"-",Compras[[#This Row],[Pre-Total ]]+Compras[[#This Row],[Cantidad ]]*Compras[[#This Row],[Impuesto]])</f>
        <v>54.692</v>
      </c>
      <c r="J85" s="7">
        <f>Compras[[#This Row],[Total]]/Compras[[#This Row],[Cantidad ]]</f>
        <v>10.9384</v>
      </c>
      <c r="K85" s="8"/>
    </row>
    <row r="86" spans="1:11" ht="14.25" customHeight="1" x14ac:dyDescent="0.25">
      <c r="A86" s="3" t="s">
        <v>229</v>
      </c>
      <c r="B86" s="3" t="s">
        <v>154</v>
      </c>
      <c r="C86" s="4">
        <v>46177</v>
      </c>
      <c r="D86" s="4" t="s">
        <v>67</v>
      </c>
      <c r="E86" s="3">
        <v>1</v>
      </c>
      <c r="F86" s="5">
        <v>21.78</v>
      </c>
      <c r="G86" s="5">
        <f>IF(OR(Compras[[#This Row],[Cantidad ]]="",Compras[[#This Row],[Costo]]=""),"-",Compras[[#This Row],[Cantidad ]]*Compras[[#This Row],[Costo]])</f>
        <v>21.78</v>
      </c>
      <c r="H86" s="9">
        <v>0.311</v>
      </c>
      <c r="I86" s="7">
        <f>IF(OR(Compras[[#This Row],[Pre-Total ]]="",Compras[[#This Row],[Impuesto]]=""),"-",Compras[[#This Row],[Pre-Total ]]+Compras[[#This Row],[Cantidad ]]*Compras[[#This Row],[Impuesto]])</f>
        <v>22.091000000000001</v>
      </c>
      <c r="J86" s="7">
        <f>Compras[[#This Row],[Total]]/Compras[[#This Row],[Cantidad ]]</f>
        <v>22.091000000000001</v>
      </c>
      <c r="K86" s="8"/>
    </row>
    <row r="87" spans="1:11" x14ac:dyDescent="0.25">
      <c r="A87" s="3" t="s">
        <v>229</v>
      </c>
      <c r="B87" s="3" t="s">
        <v>155</v>
      </c>
      <c r="C87" s="4">
        <v>46177</v>
      </c>
      <c r="D87" s="4" t="s">
        <v>68</v>
      </c>
      <c r="E87" s="3">
        <v>1</v>
      </c>
      <c r="F87" s="5">
        <v>21.78</v>
      </c>
      <c r="G87" s="5">
        <f>IF(OR(Compras[[#This Row],[Cantidad ]]="",Compras[[#This Row],[Costo]]=""),"-",Compras[[#This Row],[Cantidad ]]*Compras[[#This Row],[Costo]])</f>
        <v>21.78</v>
      </c>
      <c r="H87" s="9">
        <v>0.311</v>
      </c>
      <c r="I87" s="7">
        <f>IF(OR(Compras[[#This Row],[Pre-Total ]]="",Compras[[#This Row],[Impuesto]]=""),"-",Compras[[#This Row],[Pre-Total ]]+Compras[[#This Row],[Cantidad ]]*Compras[[#This Row],[Impuesto]])</f>
        <v>22.091000000000001</v>
      </c>
      <c r="J87" s="7">
        <f>Compras[[#This Row],[Total]]/Compras[[#This Row],[Cantidad ]]</f>
        <v>22.091000000000001</v>
      </c>
      <c r="K87" s="8"/>
    </row>
    <row r="88" spans="1:11" x14ac:dyDescent="0.25">
      <c r="A88" s="3" t="s">
        <v>229</v>
      </c>
      <c r="B88" s="3" t="s">
        <v>156</v>
      </c>
      <c r="C88" s="4">
        <v>46177</v>
      </c>
      <c r="D88" s="4" t="s">
        <v>69</v>
      </c>
      <c r="E88" s="3">
        <v>2</v>
      </c>
      <c r="F88" s="5">
        <v>24.2</v>
      </c>
      <c r="G88" s="5">
        <f>IF(OR(Compras[[#This Row],[Cantidad ]]="",Compras[[#This Row],[Costo]]=""),"-",Compras[[#This Row],[Cantidad ]]*Compras[[#This Row],[Costo]])</f>
        <v>48.4</v>
      </c>
      <c r="H88" s="9">
        <v>0.311</v>
      </c>
      <c r="I88" s="7">
        <f>IF(OR(Compras[[#This Row],[Pre-Total ]]="",Compras[[#This Row],[Impuesto]]=""),"-",Compras[[#This Row],[Pre-Total ]]+Compras[[#This Row],[Cantidad ]]*Compras[[#This Row],[Impuesto]])</f>
        <v>49.021999999999998</v>
      </c>
      <c r="J88" s="7">
        <f>Compras[[#This Row],[Total]]/Compras[[#This Row],[Cantidad ]]</f>
        <v>24.510999999999999</v>
      </c>
      <c r="K88" s="8"/>
    </row>
    <row r="89" spans="1:11" x14ac:dyDescent="0.25">
      <c r="A89" s="3" t="s">
        <v>229</v>
      </c>
      <c r="B89" s="3" t="s">
        <v>157</v>
      </c>
      <c r="C89" s="4">
        <v>46177</v>
      </c>
      <c r="D89" s="4" t="s">
        <v>70</v>
      </c>
      <c r="E89" s="3">
        <v>2</v>
      </c>
      <c r="F89" s="5">
        <v>24.2</v>
      </c>
      <c r="G89" s="5">
        <f>IF(OR(Compras[[#This Row],[Cantidad ]]="",Compras[[#This Row],[Costo]]=""),"-",Compras[[#This Row],[Cantidad ]]*Compras[[#This Row],[Costo]])</f>
        <v>48.4</v>
      </c>
      <c r="H89" s="9">
        <v>0.311</v>
      </c>
      <c r="I89" s="7">
        <f>IF(OR(Compras[[#This Row],[Pre-Total ]]="",Compras[[#This Row],[Impuesto]]=""),"-",Compras[[#This Row],[Pre-Total ]]+Compras[[#This Row],[Cantidad ]]*Compras[[#This Row],[Impuesto]])</f>
        <v>49.021999999999998</v>
      </c>
      <c r="J89" s="7">
        <f>Compras[[#This Row],[Total]]/Compras[[#This Row],[Cantidad ]]</f>
        <v>24.510999999999999</v>
      </c>
      <c r="K89" s="8"/>
    </row>
    <row r="90" spans="1:11" x14ac:dyDescent="0.25">
      <c r="A90" s="3" t="s">
        <v>229</v>
      </c>
      <c r="B90" s="3" t="s">
        <v>158</v>
      </c>
      <c r="C90" s="4">
        <v>46177</v>
      </c>
      <c r="D90" s="4" t="s">
        <v>71</v>
      </c>
      <c r="E90" s="3">
        <v>2</v>
      </c>
      <c r="F90" s="5">
        <v>34.36</v>
      </c>
      <c r="G90" s="5">
        <f>IF(OR(Compras[[#This Row],[Cantidad ]]="",Compras[[#This Row],[Costo]]=""),"-",Compras[[#This Row],[Cantidad ]]*Compras[[#This Row],[Costo]])</f>
        <v>68.72</v>
      </c>
      <c r="H90" s="9">
        <v>0.311</v>
      </c>
      <c r="I90" s="7">
        <f>IF(OR(Compras[[#This Row],[Pre-Total ]]="",Compras[[#This Row],[Impuesto]]=""),"-",Compras[[#This Row],[Pre-Total ]]+Compras[[#This Row],[Cantidad ]]*Compras[[#This Row],[Impuesto]])</f>
        <v>69.341999999999999</v>
      </c>
      <c r="J90" s="7">
        <f>Compras[[#This Row],[Total]]/Compras[[#This Row],[Cantidad ]]</f>
        <v>34.670999999999999</v>
      </c>
      <c r="K90" s="8"/>
    </row>
    <row r="91" spans="1:11" x14ac:dyDescent="0.25">
      <c r="A91" s="3" t="s">
        <v>229</v>
      </c>
      <c r="B91" s="3" t="s">
        <v>159</v>
      </c>
      <c r="C91" s="4">
        <v>46177</v>
      </c>
      <c r="D91" s="4" t="s">
        <v>72</v>
      </c>
      <c r="E91" s="3">
        <v>2</v>
      </c>
      <c r="F91" s="5">
        <v>34.36</v>
      </c>
      <c r="G91" s="5">
        <f>IF(OR(Compras[[#This Row],[Cantidad ]]="",Compras[[#This Row],[Costo]]=""),"-",Compras[[#This Row],[Cantidad ]]*Compras[[#This Row],[Costo]])</f>
        <v>68.72</v>
      </c>
      <c r="H91" s="9">
        <v>0.311</v>
      </c>
      <c r="I91" s="7">
        <f>IF(OR(Compras[[#This Row],[Pre-Total ]]="",Compras[[#This Row],[Impuesto]]=""),"-",Compras[[#This Row],[Pre-Total ]]+Compras[[#This Row],[Cantidad ]]*Compras[[#This Row],[Impuesto]])</f>
        <v>69.341999999999999</v>
      </c>
      <c r="J91" s="7">
        <f>Compras[[#This Row],[Total]]/Compras[[#This Row],[Cantidad ]]</f>
        <v>34.670999999999999</v>
      </c>
      <c r="K91" s="8"/>
    </row>
    <row r="92" spans="1:11" x14ac:dyDescent="0.25">
      <c r="A92" s="3" t="s">
        <v>229</v>
      </c>
      <c r="B92" s="3" t="s">
        <v>160</v>
      </c>
      <c r="C92" s="4">
        <v>46177</v>
      </c>
      <c r="D92" s="4" t="s">
        <v>73</v>
      </c>
      <c r="E92" s="3">
        <v>2</v>
      </c>
      <c r="F92" s="5">
        <v>36.619999999999997</v>
      </c>
      <c r="G92" s="5">
        <f>IF(OR(Compras[[#This Row],[Cantidad ]]="",Compras[[#This Row],[Costo]]=""),"-",Compras[[#This Row],[Cantidad ]]*Compras[[#This Row],[Costo]])</f>
        <v>73.239999999999995</v>
      </c>
      <c r="H92" s="9">
        <v>0.311</v>
      </c>
      <c r="I92" s="7">
        <f>IF(OR(Compras[[#This Row],[Pre-Total ]]="",Compras[[#This Row],[Impuesto]]=""),"-",Compras[[#This Row],[Pre-Total ]]+Compras[[#This Row],[Cantidad ]]*Compras[[#This Row],[Impuesto]])</f>
        <v>73.861999999999995</v>
      </c>
      <c r="J92" s="7">
        <f>Compras[[#This Row],[Total]]/Compras[[#This Row],[Cantidad ]]</f>
        <v>36.930999999999997</v>
      </c>
      <c r="K92" s="8"/>
    </row>
    <row r="93" spans="1:11" x14ac:dyDescent="0.25">
      <c r="A93" s="3" t="s">
        <v>229</v>
      </c>
      <c r="B93" s="3" t="s">
        <v>161</v>
      </c>
      <c r="C93" s="4">
        <v>46177</v>
      </c>
      <c r="D93" s="4" t="s">
        <v>196</v>
      </c>
      <c r="E93" s="3">
        <v>1</v>
      </c>
      <c r="F93" s="5">
        <v>37.619999999999997</v>
      </c>
      <c r="G93" s="5">
        <f>IF(OR(Compras[[#This Row],[Cantidad ]]="",Compras[[#This Row],[Costo]]=""),"-",Compras[[#This Row],[Cantidad ]]*Compras[[#This Row],[Costo]])</f>
        <v>37.619999999999997</v>
      </c>
      <c r="H93" s="9">
        <v>0.311</v>
      </c>
      <c r="I93" s="7">
        <f>IF(OR(Compras[[#This Row],[Pre-Total ]]="",Compras[[#This Row],[Impuesto]]=""),"-",Compras[[#This Row],[Pre-Total ]]+Compras[[#This Row],[Cantidad ]]*Compras[[#This Row],[Impuesto]])</f>
        <v>37.930999999999997</v>
      </c>
      <c r="J93" s="7">
        <f>Compras[[#This Row],[Total]]/Compras[[#This Row],[Cantidad ]]</f>
        <v>37.930999999999997</v>
      </c>
      <c r="K93" s="8"/>
    </row>
    <row r="94" spans="1:11" x14ac:dyDescent="0.25">
      <c r="A94" s="3" t="s">
        <v>229</v>
      </c>
      <c r="B94" s="3" t="s">
        <v>162</v>
      </c>
      <c r="C94" s="4">
        <v>46177</v>
      </c>
      <c r="D94" s="4" t="s">
        <v>195</v>
      </c>
      <c r="E94" s="3">
        <v>2</v>
      </c>
      <c r="F94" s="5">
        <v>22.91</v>
      </c>
      <c r="G94" s="5">
        <f>IF(OR(Compras[[#This Row],[Cantidad ]]="",Compras[[#This Row],[Costo]]=""),"-",Compras[[#This Row],[Cantidad ]]*Compras[[#This Row],[Costo]])</f>
        <v>45.82</v>
      </c>
      <c r="H94" s="9">
        <v>0.311</v>
      </c>
      <c r="I94" s="9">
        <f>IF(OR(Compras[[#This Row],[Pre-Total ]]="",Compras[[#This Row],[Impuesto]]=""),"-",Compras[[#This Row],[Pre-Total ]]+Compras[[#This Row],[Cantidad ]]*Compras[[#This Row],[Impuesto]])</f>
        <v>46.442</v>
      </c>
      <c r="J94" s="9">
        <f>Compras[[#This Row],[Total]]/Compras[[#This Row],[Cantidad ]]</f>
        <v>23.221</v>
      </c>
      <c r="K94" s="8"/>
    </row>
    <row r="95" spans="1:11" x14ac:dyDescent="0.25">
      <c r="A95" s="3" t="s">
        <v>229</v>
      </c>
      <c r="B95" s="3" t="s">
        <v>163</v>
      </c>
      <c r="C95" s="4">
        <v>46177</v>
      </c>
      <c r="D95" s="4" t="s">
        <v>166</v>
      </c>
      <c r="E95" s="3">
        <v>3</v>
      </c>
      <c r="F95" s="5">
        <v>36.619999999999997</v>
      </c>
      <c r="G95" s="5">
        <f>IF(OR(Compras[[#This Row],[Cantidad ]]="",Compras[[#This Row],[Costo]]=""),"-",Compras[[#This Row],[Cantidad ]]*Compras[[#This Row],[Costo]])</f>
        <v>109.85999999999999</v>
      </c>
      <c r="H95" s="9">
        <v>0.311</v>
      </c>
      <c r="I95" s="9">
        <f>IF(OR(Compras[[#This Row],[Pre-Total ]]="",Compras[[#This Row],[Impuesto]]=""),"-",Compras[[#This Row],[Pre-Total ]]+Compras[[#This Row],[Cantidad ]]*Compras[[#This Row],[Impuesto]])</f>
        <v>110.79299999999999</v>
      </c>
      <c r="J95" s="9">
        <f>Compras[[#This Row],[Total]]/Compras[[#This Row],[Cantidad ]]</f>
        <v>36.930999999999997</v>
      </c>
      <c r="K95" s="8"/>
    </row>
    <row r="96" spans="1:11" x14ac:dyDescent="0.25">
      <c r="A96" s="3" t="s">
        <v>229</v>
      </c>
      <c r="B96" s="3" t="s">
        <v>164</v>
      </c>
      <c r="C96" s="4">
        <v>46177</v>
      </c>
      <c r="D96" s="4" t="s">
        <v>167</v>
      </c>
      <c r="E96" s="3">
        <v>2</v>
      </c>
      <c r="F96" s="5">
        <v>30.97</v>
      </c>
      <c r="G96" s="5">
        <f>IF(OR(Compras[[#This Row],[Cantidad ]]="",Compras[[#This Row],[Costo]]=""),"-",Compras[[#This Row],[Cantidad ]]*Compras[[#This Row],[Costo]])</f>
        <v>61.94</v>
      </c>
      <c r="H96" s="9">
        <v>0.311</v>
      </c>
      <c r="I96" s="9">
        <f>IF(OR(Compras[[#This Row],[Pre-Total ]]="",Compras[[#This Row],[Impuesto]]=""),"-",Compras[[#This Row],[Pre-Total ]]+Compras[[#This Row],[Cantidad ]]*Compras[[#This Row],[Impuesto]])</f>
        <v>62.561999999999998</v>
      </c>
      <c r="J96" s="9">
        <f>Compras[[#This Row],[Total]]/Compras[[#This Row],[Cantidad ]]</f>
        <v>31.280999999999999</v>
      </c>
      <c r="K96" s="8"/>
    </row>
    <row r="97" spans="1:12" x14ac:dyDescent="0.25">
      <c r="A97" s="3" t="s">
        <v>229</v>
      </c>
      <c r="B97" s="3" t="s">
        <v>165</v>
      </c>
      <c r="C97" s="4">
        <v>46177</v>
      </c>
      <c r="D97" s="4" t="s">
        <v>168</v>
      </c>
      <c r="E97" s="3">
        <v>2</v>
      </c>
      <c r="F97" s="5">
        <v>47.91</v>
      </c>
      <c r="G97" s="5">
        <f>IF(OR(Compras[[#This Row],[Cantidad ]]="",Compras[[#This Row],[Costo]]=""),"-",Compras[[#This Row],[Cantidad ]]*Compras[[#This Row],[Costo]])</f>
        <v>95.82</v>
      </c>
      <c r="H97" s="9">
        <v>0.311</v>
      </c>
      <c r="I97" s="9">
        <f>IF(OR(Compras[[#This Row],[Pre-Total ]]="",Compras[[#This Row],[Impuesto]]=""),"-",Compras[[#This Row],[Pre-Total ]]+Compras[[#This Row],[Cantidad ]]*Compras[[#This Row],[Impuesto]])</f>
        <v>96.441999999999993</v>
      </c>
      <c r="J97" s="9">
        <f>Compras[[#This Row],[Total]]/Compras[[#This Row],[Cantidad ]]</f>
        <v>48.220999999999997</v>
      </c>
      <c r="K97" s="8"/>
    </row>
    <row r="98" spans="1:12" x14ac:dyDescent="0.25">
      <c r="A98" s="3" t="s">
        <v>229</v>
      </c>
      <c r="B98" s="3" t="s">
        <v>177</v>
      </c>
      <c r="C98" s="4">
        <v>46177</v>
      </c>
      <c r="D98" s="4" t="s">
        <v>169</v>
      </c>
      <c r="E98" s="3">
        <v>1</v>
      </c>
      <c r="F98" s="5">
        <v>24.36</v>
      </c>
      <c r="G98" s="5">
        <f>IF(OR(Compras[[#This Row],[Cantidad ]]="",Compras[[#This Row],[Costo]]=""),"-",Compras[[#This Row],[Cantidad ]]*Compras[[#This Row],[Costo]])</f>
        <v>24.36</v>
      </c>
      <c r="H98" s="9">
        <v>0.311</v>
      </c>
      <c r="I98" s="9">
        <f>IF(OR(Compras[[#This Row],[Pre-Total ]]="",Compras[[#This Row],[Impuesto]]=""),"-",Compras[[#This Row],[Pre-Total ]]+Compras[[#This Row],[Cantidad ]]*Compras[[#This Row],[Impuesto]])</f>
        <v>24.670999999999999</v>
      </c>
      <c r="J98" s="9">
        <f>Compras[[#This Row],[Total]]/Compras[[#This Row],[Cantidad ]]</f>
        <v>24.670999999999999</v>
      </c>
      <c r="K98" s="8"/>
    </row>
    <row r="99" spans="1:12" x14ac:dyDescent="0.25">
      <c r="A99" s="3" t="s">
        <v>229</v>
      </c>
      <c r="B99" s="3" t="s">
        <v>178</v>
      </c>
      <c r="C99" s="4">
        <v>46177</v>
      </c>
      <c r="D99" s="4" t="s">
        <v>170</v>
      </c>
      <c r="E99" s="3">
        <v>1</v>
      </c>
      <c r="F99" s="5">
        <v>24.36</v>
      </c>
      <c r="G99" s="5">
        <f>IF(OR(Compras[[#This Row],[Cantidad ]]="",Compras[[#This Row],[Costo]]=""),"-",Compras[[#This Row],[Cantidad ]]*Compras[[#This Row],[Costo]])</f>
        <v>24.36</v>
      </c>
      <c r="H99" s="9">
        <v>0.311</v>
      </c>
      <c r="I99" s="9">
        <f>IF(OR(Compras[[#This Row],[Pre-Total ]]="",Compras[[#This Row],[Impuesto]]=""),"-",Compras[[#This Row],[Pre-Total ]]+Compras[[#This Row],[Cantidad ]]*Compras[[#This Row],[Impuesto]])</f>
        <v>24.670999999999999</v>
      </c>
      <c r="J99" s="9">
        <f>Compras[[#This Row],[Total]]/Compras[[#This Row],[Cantidad ]]</f>
        <v>24.670999999999999</v>
      </c>
      <c r="K99" s="8"/>
    </row>
    <row r="100" spans="1:12" x14ac:dyDescent="0.25">
      <c r="A100" s="3" t="s">
        <v>229</v>
      </c>
      <c r="B100" s="3" t="s">
        <v>179</v>
      </c>
      <c r="C100" s="4">
        <v>46177</v>
      </c>
      <c r="D100" s="4" t="s">
        <v>171</v>
      </c>
      <c r="E100" s="3">
        <v>1</v>
      </c>
      <c r="F100" s="5">
        <v>38.71</v>
      </c>
      <c r="G100" s="5">
        <f>IF(OR(Compras[[#This Row],[Cantidad ]]="",Compras[[#This Row],[Costo]]=""),"-",Compras[[#This Row],[Cantidad ]]*Compras[[#This Row],[Costo]])</f>
        <v>38.71</v>
      </c>
      <c r="H100" s="9">
        <v>0.311</v>
      </c>
      <c r="I100" s="9">
        <f>IF(OR(Compras[[#This Row],[Pre-Total ]]="",Compras[[#This Row],[Impuesto]]=""),"-",Compras[[#This Row],[Pre-Total ]]+Compras[[#This Row],[Cantidad ]]*Compras[[#This Row],[Impuesto]])</f>
        <v>39.021000000000001</v>
      </c>
      <c r="J100" s="9">
        <f>Compras[[#This Row],[Total]]/Compras[[#This Row],[Cantidad ]]</f>
        <v>39.021000000000001</v>
      </c>
      <c r="K100" s="8"/>
    </row>
    <row r="101" spans="1:12" x14ac:dyDescent="0.25">
      <c r="A101" s="3" t="s">
        <v>229</v>
      </c>
      <c r="B101" s="3" t="s">
        <v>190</v>
      </c>
      <c r="C101" s="4">
        <v>46177</v>
      </c>
      <c r="D101" s="4" t="s">
        <v>44</v>
      </c>
      <c r="E101" s="3">
        <v>20</v>
      </c>
      <c r="F101" s="5">
        <v>12.86</v>
      </c>
      <c r="G101" s="5">
        <f>IF(OR(Compras[[#This Row],[Cantidad ]]="",Compras[[#This Row],[Costo]]=""),"-",Compras[[#This Row],[Cantidad ]]*Compras[[#This Row],[Costo]])</f>
        <v>257.2</v>
      </c>
      <c r="H101" s="9">
        <v>0.311</v>
      </c>
      <c r="I101" s="9">
        <f>IF(OR(Compras[[#This Row],[Pre-Total ]]="",Compras[[#This Row],[Impuesto]]=""),"-",Compras[[#This Row],[Pre-Total ]]+Compras[[#This Row],[Cantidad ]]*Compras[[#This Row],[Impuesto]])</f>
        <v>263.42</v>
      </c>
      <c r="J101" s="9">
        <f>Compras[[#This Row],[Total]]/Compras[[#This Row],[Cantidad ]]</f>
        <v>13.171000000000001</v>
      </c>
      <c r="K101" s="8"/>
      <c r="L101" s="6" t="s">
        <v>48</v>
      </c>
    </row>
    <row r="102" spans="1:12" x14ac:dyDescent="0.25">
      <c r="A102" s="3" t="s">
        <v>229</v>
      </c>
      <c r="B102" s="3" t="s">
        <v>191</v>
      </c>
      <c r="C102" s="4">
        <v>46177</v>
      </c>
      <c r="D102" s="4" t="s">
        <v>45</v>
      </c>
      <c r="E102" s="3">
        <v>5</v>
      </c>
      <c r="F102" s="5">
        <v>12.23</v>
      </c>
      <c r="G102" s="5">
        <f>IF(OR(Compras[[#This Row],[Cantidad ]]="",Compras[[#This Row],[Costo]]=""),"-",Compras[[#This Row],[Cantidad ]]*Compras[[#This Row],[Costo]])</f>
        <v>61.150000000000006</v>
      </c>
      <c r="H102" s="9">
        <v>0.311</v>
      </c>
      <c r="I102" s="9">
        <f>IF(OR(Compras[[#This Row],[Pre-Total ]]="",Compras[[#This Row],[Impuesto]]=""),"-",Compras[[#This Row],[Pre-Total ]]+Compras[[#This Row],[Cantidad ]]*Compras[[#This Row],[Impuesto]])</f>
        <v>62.705000000000005</v>
      </c>
      <c r="J102" s="9">
        <f>Compras[[#This Row],[Total]]/Compras[[#This Row],[Cantidad ]]</f>
        <v>12.541</v>
      </c>
      <c r="K102" s="8"/>
      <c r="L102" s="6" t="s">
        <v>49</v>
      </c>
    </row>
    <row r="103" spans="1:12" x14ac:dyDescent="0.25">
      <c r="A103" s="3" t="s">
        <v>229</v>
      </c>
      <c r="B103" s="3" t="s">
        <v>192</v>
      </c>
      <c r="C103" s="4">
        <v>46177</v>
      </c>
      <c r="D103" s="4" t="s">
        <v>175</v>
      </c>
      <c r="E103" s="3">
        <v>10</v>
      </c>
      <c r="F103" s="5">
        <v>9.85</v>
      </c>
      <c r="G103" s="5">
        <f>IF(OR(Compras[[#This Row],[Cantidad ]]="",Compras[[#This Row],[Costo]]=""),"-",Compras[[#This Row],[Cantidad ]]*Compras[[#This Row],[Costo]])</f>
        <v>98.5</v>
      </c>
      <c r="H103" s="9">
        <v>0.311</v>
      </c>
      <c r="I103" s="9">
        <f>IF(OR(Compras[[#This Row],[Pre-Total ]]="",Compras[[#This Row],[Impuesto]]=""),"-",Compras[[#This Row],[Pre-Total ]]+Compras[[#This Row],[Cantidad ]]*Compras[[#This Row],[Impuesto]])</f>
        <v>101.61</v>
      </c>
      <c r="J103" s="9">
        <f>Compras[[#This Row],[Total]]/Compras[[#This Row],[Cantidad ]]</f>
        <v>10.161</v>
      </c>
      <c r="K103" s="8"/>
      <c r="L103" s="6"/>
    </row>
    <row r="104" spans="1:12" x14ac:dyDescent="0.25">
      <c r="A104" s="3" t="s">
        <v>229</v>
      </c>
      <c r="B104" s="3" t="s">
        <v>193</v>
      </c>
      <c r="C104" s="4">
        <v>46177</v>
      </c>
      <c r="D104" s="4" t="s">
        <v>176</v>
      </c>
      <c r="E104" s="3">
        <v>15</v>
      </c>
      <c r="F104" s="5">
        <v>9.85</v>
      </c>
      <c r="G104" s="5">
        <f>IF(OR(Compras[[#This Row],[Cantidad ]]="",Compras[[#This Row],[Costo]]=""),"-",Compras[[#This Row],[Cantidad ]]*Compras[[#This Row],[Costo]])</f>
        <v>147.75</v>
      </c>
      <c r="H104" s="9">
        <v>0.311</v>
      </c>
      <c r="I104" s="9">
        <f>IF(OR(Compras[[#This Row],[Pre-Total ]]="",Compras[[#This Row],[Impuesto]]=""),"-",Compras[[#This Row],[Pre-Total ]]+Compras[[#This Row],[Cantidad ]]*Compras[[#This Row],[Impuesto]])</f>
        <v>152.41499999999999</v>
      </c>
      <c r="J104" s="9">
        <f>Compras[[#This Row],[Total]]/Compras[[#This Row],[Cantidad ]]</f>
        <v>10.161</v>
      </c>
      <c r="K104" s="8"/>
    </row>
    <row r="105" spans="1:12" x14ac:dyDescent="0.25">
      <c r="A105" s="3" t="s">
        <v>229</v>
      </c>
      <c r="B105" s="3" t="s">
        <v>194</v>
      </c>
      <c r="C105" s="4">
        <v>46177</v>
      </c>
      <c r="D105" s="4" t="s">
        <v>174</v>
      </c>
      <c r="E105" s="3">
        <v>100</v>
      </c>
      <c r="F105" s="5">
        <v>4.3600000000000003</v>
      </c>
      <c r="G105" s="5">
        <f>IF(OR(Compras[[#This Row],[Cantidad ]]="",Compras[[#This Row],[Costo]]=""),"-",Compras[[#This Row],[Cantidad ]]*Compras[[#This Row],[Costo]])</f>
        <v>436.00000000000006</v>
      </c>
      <c r="H105" s="9">
        <v>0.311</v>
      </c>
      <c r="I105" s="9">
        <f>IF(OR(Compras[[#This Row],[Pre-Total ]]="",Compras[[#This Row],[Impuesto]]=""),"-",Compras[[#This Row],[Pre-Total ]]+Compras[[#This Row],[Cantidad ]]*Compras[[#This Row],[Impuesto]])</f>
        <v>467.10000000000008</v>
      </c>
      <c r="J105" s="9">
        <f>Compras[[#This Row],[Total]]/Compras[[#This Row],[Cantidad ]]</f>
        <v>4.6710000000000012</v>
      </c>
      <c r="K105" s="8"/>
      <c r="L105" s="6"/>
    </row>
    <row r="106" spans="1:12" x14ac:dyDescent="0.25">
      <c r="A106" s="3" t="s">
        <v>229</v>
      </c>
      <c r="B106" s="3" t="s">
        <v>201</v>
      </c>
      <c r="C106" s="4">
        <v>46177</v>
      </c>
      <c r="D106" s="4" t="s">
        <v>197</v>
      </c>
      <c r="E106" s="3">
        <v>6</v>
      </c>
      <c r="F106" s="5">
        <v>12.59</v>
      </c>
      <c r="G106" s="5">
        <f>IF(OR(Compras[[#This Row],[Cantidad ]]="",Compras[[#This Row],[Costo]]=""),"-",Compras[[#This Row],[Cantidad ]]*Compras[[#This Row],[Costo]])</f>
        <v>75.539999999999992</v>
      </c>
      <c r="H106" s="9">
        <v>0.311</v>
      </c>
      <c r="I106" s="9">
        <f>IF(OR(Compras[[#This Row],[Pre-Total ]]="",Compras[[#This Row],[Impuesto]]=""),"-",Compras[[#This Row],[Pre-Total ]]+Compras[[#This Row],[Cantidad ]]*Compras[[#This Row],[Impuesto]])</f>
        <v>77.405999999999992</v>
      </c>
      <c r="J106" s="9">
        <f>Compras[[#This Row],[Total]]/Compras[[#This Row],[Cantidad ]]</f>
        <v>12.900999999999998</v>
      </c>
      <c r="K106" s="8"/>
      <c r="L106" s="6"/>
    </row>
    <row r="107" spans="1:12" x14ac:dyDescent="0.25">
      <c r="A107" s="3" t="s">
        <v>229</v>
      </c>
      <c r="B107" s="3" t="s">
        <v>202</v>
      </c>
      <c r="C107" s="4">
        <v>46177</v>
      </c>
      <c r="D107" s="4" t="s">
        <v>198</v>
      </c>
      <c r="E107" s="3">
        <v>5</v>
      </c>
      <c r="F107" s="5">
        <v>14.2</v>
      </c>
      <c r="G107" s="5">
        <f>IF(OR(Compras[[#This Row],[Cantidad ]]="",Compras[[#This Row],[Costo]]=""),"-",Compras[[#This Row],[Cantidad ]]*Compras[[#This Row],[Costo]])</f>
        <v>71</v>
      </c>
      <c r="H107" s="9">
        <v>0.311</v>
      </c>
      <c r="I107" s="9">
        <f>IF(OR(Compras[[#This Row],[Pre-Total ]]="",Compras[[#This Row],[Impuesto]]=""),"-",Compras[[#This Row],[Pre-Total ]]+Compras[[#This Row],[Cantidad ]]*Compras[[#This Row],[Impuesto]])</f>
        <v>72.555000000000007</v>
      </c>
      <c r="J107" s="9">
        <f>Compras[[#This Row],[Total]]/Compras[[#This Row],[Cantidad ]]</f>
        <v>14.511000000000001</v>
      </c>
      <c r="K107" s="8"/>
      <c r="L107" s="12">
        <v>2048.88</v>
      </c>
    </row>
    <row r="108" spans="1:12" x14ac:dyDescent="0.25">
      <c r="A108" s="3" t="s">
        <v>229</v>
      </c>
      <c r="B108" s="3" t="s">
        <v>203</v>
      </c>
      <c r="C108" s="4">
        <v>46177</v>
      </c>
      <c r="D108" s="4" t="s">
        <v>199</v>
      </c>
      <c r="E108" s="3">
        <v>6</v>
      </c>
      <c r="F108" s="5">
        <v>12.1</v>
      </c>
      <c r="G108" s="5">
        <f>IF(OR(Compras[[#This Row],[Cantidad ]]="",Compras[[#This Row],[Costo]]=""),"-",Compras[[#This Row],[Cantidad ]]*Compras[[#This Row],[Costo]])</f>
        <v>72.599999999999994</v>
      </c>
      <c r="H108" s="9">
        <v>0.311</v>
      </c>
      <c r="I108" s="9">
        <f>IF(OR(Compras[[#This Row],[Pre-Total ]]="",Compras[[#This Row],[Impuesto]]=""),"-",Compras[[#This Row],[Pre-Total ]]+Compras[[#This Row],[Cantidad ]]*Compras[[#This Row],[Impuesto]])</f>
        <v>74.465999999999994</v>
      </c>
      <c r="J108" s="9">
        <f>Compras[[#This Row],[Total]]/Compras[[#This Row],[Cantidad ]]</f>
        <v>12.411</v>
      </c>
      <c r="K108" s="8"/>
      <c r="L108" s="6">
        <v>2110.15</v>
      </c>
    </row>
    <row r="109" spans="1:12" x14ac:dyDescent="0.25">
      <c r="A109" s="3" t="s">
        <v>229</v>
      </c>
      <c r="B109" s="3" t="s">
        <v>204</v>
      </c>
      <c r="C109" s="4">
        <v>46177</v>
      </c>
      <c r="D109" s="4" t="s">
        <v>200</v>
      </c>
      <c r="E109" s="3">
        <v>5</v>
      </c>
      <c r="F109" s="5">
        <v>13.71</v>
      </c>
      <c r="G109" s="5">
        <f>IF(OR(Compras[[#This Row],[Cantidad ]]="",Compras[[#This Row],[Costo]]=""),"-",Compras[[#This Row],[Cantidad ]]*Compras[[#This Row],[Costo]])</f>
        <v>68.550000000000011</v>
      </c>
      <c r="H109" s="9">
        <v>0.311</v>
      </c>
      <c r="I109" s="9">
        <f>IF(OR(Compras[[#This Row],[Pre-Total ]]="",Compras[[#This Row],[Impuesto]]=""),"-",Compras[[#This Row],[Pre-Total ]]+Compras[[#This Row],[Cantidad ]]*Compras[[#This Row],[Impuesto]])</f>
        <v>70.105000000000018</v>
      </c>
      <c r="J109" s="9">
        <f>Compras[[#This Row],[Total]]/Compras[[#This Row],[Cantidad ]]</f>
        <v>14.021000000000004</v>
      </c>
      <c r="K109" s="8"/>
      <c r="L109" s="12">
        <f>L108-L107</f>
        <v>61.269999999999982</v>
      </c>
    </row>
    <row r="110" spans="1:12" x14ac:dyDescent="0.25">
      <c r="A110" s="3" t="s">
        <v>7</v>
      </c>
      <c r="B110" s="3"/>
      <c r="C110" s="3"/>
      <c r="D110" s="3"/>
      <c r="E110" s="3">
        <f>SUBTOTAL(109,Compras[[Cantidad ]])</f>
        <v>1706</v>
      </c>
      <c r="F110" s="5"/>
      <c r="G110" s="5">
        <f>SUBTOTAL(109,Compras[Pre-Total ])</f>
        <v>14670.16</v>
      </c>
      <c r="I110" s="9">
        <f>SUBTOTAL(109,Compras[Total])</f>
        <v>15109.624099999999</v>
      </c>
      <c r="K110" s="8">
        <f>SUBTOTAL(109,Compras[Estado])</f>
        <v>0</v>
      </c>
      <c r="L110" s="6">
        <f>L109/197</f>
        <v>0.31101522842639584</v>
      </c>
    </row>
    <row r="112" spans="1:12" x14ac:dyDescent="0.25">
      <c r="L112" s="6"/>
    </row>
    <row r="113" spans="12:12" x14ac:dyDescent="0.25">
      <c r="L113" s="6"/>
    </row>
  </sheetData>
  <phoneticPr fontId="1" type="noConversion"/>
  <dataValidations count="3">
    <dataValidation type="list" allowBlank="1" showInputMessage="1" showErrorMessage="1" sqref="K2:K38" xr:uid="{A8470C64-81CC-46AD-AF94-E5A74C850F21}">
      <formula1>"China, Transito , Recibido"</formula1>
    </dataValidation>
    <dataValidation type="list" allowBlank="1" showInputMessage="1" showErrorMessage="1" sqref="H111:K1048576" xr:uid="{9364D02E-C477-4503-8DBE-83FA13331087}">
      <formula1>"En transito, Recido"</formula1>
    </dataValidation>
    <dataValidation type="list" allowBlank="1" showInputMessage="1" showErrorMessage="1" sqref="K39:K109" xr:uid="{8471938D-0557-4AAA-8B6E-923CE00769FB}">
      <formula1>"China, Transito, Recibido"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C89C-2FEE-4134-96C7-213D8F1A36E5}">
  <sheetPr>
    <tabColor rgb="FF00B050"/>
  </sheetPr>
  <dimension ref="A1:M38"/>
  <sheetViews>
    <sheetView tabSelected="1" zoomScale="120" zoomScaleNormal="120" workbookViewId="0">
      <selection activeCell="K2" sqref="K2"/>
    </sheetView>
  </sheetViews>
  <sheetFormatPr defaultRowHeight="15" x14ac:dyDescent="0.25"/>
  <cols>
    <col min="1" max="1" width="10.28515625" customWidth="1"/>
    <col min="2" max="2" width="9.42578125" bestFit="1" customWidth="1"/>
    <col min="3" max="3" width="49" customWidth="1"/>
    <col min="4" max="4" width="17.42578125" customWidth="1"/>
    <col min="7" max="7" width="13.28515625" style="2" bestFit="1" customWidth="1"/>
    <col min="8" max="8" width="12.7109375" style="9" bestFit="1" customWidth="1"/>
    <col min="9" max="9" width="12.42578125" customWidth="1"/>
    <col min="10" max="10" width="16.28515625" bestFit="1" customWidth="1"/>
    <col min="11" max="11" width="20.140625" style="11" customWidth="1"/>
    <col min="12" max="12" width="14.85546875" style="11" customWidth="1"/>
    <col min="13" max="13" width="16.42578125" customWidth="1"/>
  </cols>
  <sheetData>
    <row r="1" spans="1:13" x14ac:dyDescent="0.25">
      <c r="A1" t="s">
        <v>212</v>
      </c>
      <c r="B1" t="s">
        <v>5</v>
      </c>
      <c r="C1" t="s">
        <v>1</v>
      </c>
      <c r="D1" t="s">
        <v>206</v>
      </c>
      <c r="E1" t="s">
        <v>209</v>
      </c>
      <c r="F1" t="s">
        <v>214</v>
      </c>
      <c r="G1" s="2" t="s">
        <v>207</v>
      </c>
      <c r="H1" s="9" t="s">
        <v>210</v>
      </c>
      <c r="I1" t="s">
        <v>208</v>
      </c>
      <c r="J1" t="s">
        <v>217</v>
      </c>
      <c r="K1" s="11" t="s">
        <v>216</v>
      </c>
      <c r="L1" s="11" t="s">
        <v>211</v>
      </c>
      <c r="M1" t="s">
        <v>205</v>
      </c>
    </row>
    <row r="2" spans="1:13" x14ac:dyDescent="0.25">
      <c r="A2" t="s">
        <v>74</v>
      </c>
      <c r="B2" t="str">
        <f>IF(_xlfn.SINGLE(Compras[Estado])="Recibido",_xlfn.XLOOKUP(Stock[[#This Row],[Codigo ]],_xlfn.SINGLE(Compras[Codigo]),_xlfn.SINGLE(Compras[Lote]),"-"),"-")</f>
        <v>LT1</v>
      </c>
      <c r="C2" t="str">
        <f>IF(_xlfn.SINGLE(Compras[Estado])="Recibido",_xlfn.XLOOKUP(Stock[[#This Row],[Codigo ]],_xlfn.SINGLE(Compras[Codigo]),_xlfn.SINGLE(Compras[Producto]),"-"),"-")</f>
        <v xml:space="preserve">EDX Pro | Mic | Azul turquesa </v>
      </c>
      <c r="D2">
        <f>IF(_xlfn.SINGLE(Compras[Estado])="Recibido",_xlfn.XLOOKUP(Stock[[#This Row],[Codigo ]],_xlfn.SINGLE(Compras[Codigo]),_xlfn.SINGLE(Compras[[Cantidad ]]),"-"),"-")</f>
        <v>5</v>
      </c>
      <c r="F2">
        <f>IF(Stock[[#This Row],[Salidas]]="",Stock[[#This Row],[Entradas]],Stock[[#This Row],[Entradas]]-Stock[[#This Row],[Salidas]])</f>
        <v>5</v>
      </c>
      <c r="G2" s="2">
        <f>IF(_xlfn.SINGLE(Compras[Estado])="Recibido",_xlfn.XLOOKUP(Stock[[#This Row],[Codigo ]],_xlfn.SINGLE(Compras[Codigo]),_xlfn.SINGLE(Compras[[Costo unitario ]]),"-"),"-")</f>
        <v>4.8167999999999997</v>
      </c>
      <c r="H2" s="9">
        <v>0.40410000000000001</v>
      </c>
      <c r="I2" s="2">
        <f>Stock[[#This Row],[Costo unit. ]]+Stock[[#This Row],[Envio unit.]]</f>
        <v>5.2208999999999994</v>
      </c>
      <c r="J2" s="2">
        <f>Stock[[#This Row],[Costo real ]]*37</f>
        <v>193.17329999999998</v>
      </c>
      <c r="K2" s="11">
        <f t="shared" ref="K2:K38" si="0">J10</f>
        <v>354.34159999999997</v>
      </c>
      <c r="L2" s="11">
        <f>Stock[[#This Row],[Precio de venta (C$)]]-Stock[[#This Row],[Costo real (C$)]]</f>
        <v>161.16829999999999</v>
      </c>
    </row>
    <row r="3" spans="1:13" x14ac:dyDescent="0.25">
      <c r="A3" t="s">
        <v>75</v>
      </c>
      <c r="B3" t="str">
        <f>IF(_xlfn.SINGLE(Compras[Estado])="Recibido",_xlfn.XLOOKUP(Stock[[#This Row],[Codigo ]],_xlfn.SINGLE(Compras[Codigo]),_xlfn.SINGLE(Compras[Lote]),"-"),"-")</f>
        <v>LT1</v>
      </c>
      <c r="C3" t="str">
        <f>IF(_xlfn.SINGLE(Compras[Estado])="Recibido",_xlfn.XLOOKUP(Stock[[#This Row],[Codigo ]],_xlfn.SINGLE(Compras[Codigo]),_xlfn.SINGLE(Compras[Producto]),"-"),"-")</f>
        <v>EDX Pro | Mic | Black</v>
      </c>
      <c r="D3">
        <f>IF(_xlfn.SINGLE(Compras[Estado])="Recibido",_xlfn.XLOOKUP(Stock[[#This Row],[Codigo ]],_xlfn.SINGLE(Compras[Codigo]),_xlfn.SINGLE(Compras[[Cantidad ]]),"-"),"-")</f>
        <v>15</v>
      </c>
      <c r="F3">
        <f>IF(Stock[[#This Row],[Salidas]]="",Stock[[#This Row],[Entradas]],Stock[[#This Row],[Entradas]]-Stock[[#This Row],[Salidas]])</f>
        <v>15</v>
      </c>
      <c r="G3" s="2">
        <f>IF(_xlfn.SINGLE(Compras[Estado])="Recibido",_xlfn.XLOOKUP(Stock[[#This Row],[Codigo ]],_xlfn.SINGLE(Compras[Codigo]),_xlfn.SINGLE(Compras[[Costo unitario ]]),"-"),"-")</f>
        <v>4.8168000000000006</v>
      </c>
      <c r="I3" s="2">
        <f>Stock[[#This Row],[Costo unit. ]]+Stock[[#This Row],[Envio unit.]]</f>
        <v>4.8168000000000006</v>
      </c>
      <c r="J3" s="2">
        <f>Stock[[#This Row],[Costo real ]]*37</f>
        <v>178.22160000000002</v>
      </c>
      <c r="K3" s="11">
        <f t="shared" si="0"/>
        <v>175.26160000000002</v>
      </c>
      <c r="L3" s="11">
        <f>Stock[[#This Row],[Precio de venta (C$)]]-Stock[[#This Row],[Costo real (C$)]]</f>
        <v>-2.960000000000008</v>
      </c>
    </row>
    <row r="4" spans="1:13" x14ac:dyDescent="0.25">
      <c r="A4" t="s">
        <v>76</v>
      </c>
      <c r="B4" t="str">
        <f>IF(_xlfn.SINGLE(Compras[Estado])="Recibido",_xlfn.XLOOKUP(Stock[[#This Row],[Codigo ]],_xlfn.SINGLE(Compras[Codigo]),_xlfn.SINGLE(Compras[Lote]),"-"),"-")</f>
        <v>LT1</v>
      </c>
      <c r="C4" t="str">
        <f>IF(_xlfn.SINGLE(Compras[Estado])="Recibido",_xlfn.XLOOKUP(Stock[[#This Row],[Codigo ]],_xlfn.SINGLE(Compras[Codigo]),_xlfn.SINGLE(Compras[Producto]),"-"),"-")</f>
        <v>KZ AZ09 Pin C</v>
      </c>
      <c r="D4">
        <f>IF(_xlfn.SINGLE(Compras[Estado])="Recibido",_xlfn.XLOOKUP(Stock[[#This Row],[Codigo ]],_xlfn.SINGLE(Compras[Codigo]),_xlfn.SINGLE(Compras[[Cantidad ]]),"-"),"-")</f>
        <v>15</v>
      </c>
      <c r="F4">
        <f>IF(Stock[[#This Row],[Salidas]]="",Stock[[#This Row],[Entradas]],Stock[[#This Row],[Entradas]]-Stock[[#This Row],[Salidas]])</f>
        <v>15</v>
      </c>
      <c r="G4" s="2">
        <f>IF(_xlfn.SINGLE(Compras[Estado])="Recibido",_xlfn.XLOOKUP(Stock[[#This Row],[Codigo ]],_xlfn.SINGLE(Compras[Codigo]),_xlfn.SINGLE(Compras[[Costo unitario ]]),"-"),"-")</f>
        <v>13.706799999999999</v>
      </c>
      <c r="I4" s="2">
        <f>Stock[[#This Row],[Costo unit. ]]+Stock[[#This Row],[Envio unit.]]</f>
        <v>13.706799999999999</v>
      </c>
      <c r="J4" s="2">
        <f>Stock[[#This Row],[Costo real ]]*37</f>
        <v>507.15159999999997</v>
      </c>
      <c r="K4" s="11">
        <f t="shared" si="0"/>
        <v>419.09159999999997</v>
      </c>
      <c r="L4" s="11">
        <f>Stock[[#This Row],[Precio de venta (C$)]]-Stock[[#This Row],[Costo real (C$)]]</f>
        <v>-88.06</v>
      </c>
    </row>
    <row r="5" spans="1:13" x14ac:dyDescent="0.25">
      <c r="A5" t="s">
        <v>77</v>
      </c>
      <c r="B5" t="str">
        <f>IF(_xlfn.SINGLE(Compras[Estado])="Recibido",_xlfn.XLOOKUP(Stock[[#This Row],[Codigo ]],_xlfn.SINGLE(Compras[Codigo]),_xlfn.SINGLE(Compras[Lote]),"-"),"-")</f>
        <v>LT1</v>
      </c>
      <c r="C5" t="str">
        <f>IF(_xlfn.SINGLE(Compras[Estado])="Recibido",_xlfn.XLOOKUP(Stock[[#This Row],[Codigo ]],_xlfn.SINGLE(Compras[Codigo]),_xlfn.SINGLE(Compras[Producto]),"-"),"-")</f>
        <v xml:space="preserve">KZ Castor Harman| Mic </v>
      </c>
      <c r="D5">
        <f>IF(_xlfn.SINGLE(Compras[Estado])="Recibido",_xlfn.XLOOKUP(Stock[[#This Row],[Codigo ]],_xlfn.SINGLE(Compras[Codigo]),_xlfn.SINGLE(Compras[[Cantidad ]]),"-"),"-")</f>
        <v>10</v>
      </c>
      <c r="F5">
        <f>IF(Stock[[#This Row],[Salidas]]="",Stock[[#This Row],[Entradas]],Stock[[#This Row],[Entradas]]-Stock[[#This Row],[Salidas]])</f>
        <v>10</v>
      </c>
      <c r="G5" s="2">
        <f>IF(_xlfn.SINGLE(Compras[Estado])="Recibido",_xlfn.XLOOKUP(Stock[[#This Row],[Codigo ]],_xlfn.SINGLE(Compras[Codigo]),_xlfn.SINGLE(Compras[[Costo unitario ]]),"-"),"-")</f>
        <v>7.9867999999999997</v>
      </c>
      <c r="I5" s="2">
        <f>Stock[[#This Row],[Costo unit. ]]+Stock[[#This Row],[Envio unit.]]</f>
        <v>7.9867999999999997</v>
      </c>
      <c r="J5" s="2">
        <f>Stock[[#This Row],[Costo real ]]*37</f>
        <v>295.51159999999999</v>
      </c>
      <c r="K5" s="11">
        <f t="shared" si="0"/>
        <v>360.26159999999993</v>
      </c>
      <c r="L5" s="11">
        <f>Stock[[#This Row],[Precio de venta (C$)]]-Stock[[#This Row],[Costo real (C$)]]</f>
        <v>64.749999999999943</v>
      </c>
    </row>
    <row r="6" spans="1:13" x14ac:dyDescent="0.25">
      <c r="A6" t="s">
        <v>79</v>
      </c>
      <c r="B6" t="str">
        <f>IF(_xlfn.SINGLE(Compras[Estado])="Recibido",_xlfn.XLOOKUP(Stock[[#This Row],[Codigo ]],_xlfn.SINGLE(Compras[Codigo]),_xlfn.SINGLE(Compras[Lote]),"-"),"-")</f>
        <v>LT1</v>
      </c>
      <c r="C6" t="str">
        <f>IF(_xlfn.SINGLE(Compras[Estado])="Recibido",_xlfn.XLOOKUP(Stock[[#This Row],[Codigo ]],_xlfn.SINGLE(Compras[Codigo]),_xlfn.SINGLE(Compras[Producto]),"-"),"-")</f>
        <v>EDX Ultra | Mic | Black</v>
      </c>
      <c r="D6">
        <f>IF(_xlfn.SINGLE(Compras[Estado])="Recibido",_xlfn.XLOOKUP(Stock[[#This Row],[Codigo ]],_xlfn.SINGLE(Compras[Codigo]),_xlfn.SINGLE(Compras[[Cantidad ]]),"-"),"-")</f>
        <v>10</v>
      </c>
      <c r="F6">
        <f>IF(Stock[[#This Row],[Salidas]]="",Stock[[#This Row],[Entradas]],Stock[[#This Row],[Entradas]]-Stock[[#This Row],[Salidas]])</f>
        <v>10</v>
      </c>
      <c r="G6" s="2">
        <f>IF(_xlfn.SINGLE(Compras[Estado])="Recibido",_xlfn.XLOOKUP(Stock[[#This Row],[Codigo ]],_xlfn.SINGLE(Compras[Codigo]),_xlfn.SINGLE(Compras[[Costo unitario ]]),"-"),"-")</f>
        <v>6.5568</v>
      </c>
      <c r="I6" s="2">
        <f>Stock[[#This Row],[Costo unit. ]]+Stock[[#This Row],[Envio unit.]]</f>
        <v>6.5568</v>
      </c>
      <c r="J6" s="2">
        <f>Stock[[#This Row],[Costo real ]]*37</f>
        <v>242.60159999999999</v>
      </c>
      <c r="K6" s="11">
        <f t="shared" si="0"/>
        <v>178.2216</v>
      </c>
      <c r="L6" s="11">
        <f>Stock[[#This Row],[Precio de venta (C$)]]-Stock[[#This Row],[Costo real (C$)]]</f>
        <v>-64.38</v>
      </c>
    </row>
    <row r="7" spans="1:13" x14ac:dyDescent="0.25">
      <c r="A7" t="s">
        <v>82</v>
      </c>
      <c r="B7" t="str">
        <f>IF(_xlfn.SINGLE(Compras[Estado])="Recibido",_xlfn.XLOOKUP(Stock[[#This Row],[Codigo ]],_xlfn.SINGLE(Compras[Codigo]),_xlfn.SINGLE(Compras[Lote]),"-"),"-")</f>
        <v>LT1</v>
      </c>
      <c r="C7" t="str">
        <f>IF(_xlfn.SINGLE(Compras[Estado])="Recibido",_xlfn.XLOOKUP(Stock[[#This Row],[Codigo ]],_xlfn.SINGLE(Compras[Codigo]),_xlfn.SINGLE(Compras[Producto]),"-"),"-")</f>
        <v>EDX Ultra | Mic | Black</v>
      </c>
      <c r="D7">
        <f>IF(_xlfn.SINGLE(Compras[Estado])="Recibido",_xlfn.XLOOKUP(Stock[[#This Row],[Codigo ]],_xlfn.SINGLE(Compras[Codigo]),_xlfn.SINGLE(Compras[[Cantidad ]]),"-"),"-")</f>
        <v>10</v>
      </c>
      <c r="F7">
        <f>IF(Stock[[#This Row],[Salidas]]="",Stock[[#This Row],[Entradas]],Stock[[#This Row],[Entradas]]-Stock[[#This Row],[Salidas]])</f>
        <v>10</v>
      </c>
      <c r="G7" s="2">
        <f>IF(_xlfn.SINGLE(Compras[Estado])="Recibido",_xlfn.XLOOKUP(Stock[[#This Row],[Codigo ]],_xlfn.SINGLE(Compras[Codigo]),_xlfn.SINGLE(Compras[[Costo unitario ]]),"-"),"-")</f>
        <v>6.5568</v>
      </c>
      <c r="I7" s="2">
        <f>Stock[[#This Row],[Costo unit. ]]+Stock[[#This Row],[Envio unit.]]</f>
        <v>6.5568</v>
      </c>
      <c r="J7" s="2">
        <f>Stock[[#This Row],[Costo real ]]*37</f>
        <v>242.60159999999999</v>
      </c>
      <c r="K7" s="11">
        <f t="shared" si="0"/>
        <v>175.26160000000002</v>
      </c>
      <c r="L7" s="11">
        <f>Stock[[#This Row],[Precio de venta (C$)]]-Stock[[#This Row],[Costo real (C$)]]</f>
        <v>-67.339999999999975</v>
      </c>
    </row>
    <row r="8" spans="1:13" x14ac:dyDescent="0.25">
      <c r="A8" t="s">
        <v>83</v>
      </c>
      <c r="B8" t="str">
        <f>IF(_xlfn.SINGLE(Compras[Estado])="Recibido",_xlfn.XLOOKUP(Stock[[#This Row],[Codigo ]],_xlfn.SINGLE(Compras[Codigo]),_xlfn.SINGLE(Compras[Lote]),"-"),"-")</f>
        <v>LT1</v>
      </c>
      <c r="C8" t="str">
        <f>IF(_xlfn.SINGLE(Compras[Estado])="Recibido",_xlfn.XLOOKUP(Stock[[#This Row],[Codigo ]],_xlfn.SINGLE(Compras[Codigo]),_xlfn.SINGLE(Compras[Producto]),"-"),"-")</f>
        <v>KZ Castor | Mic | Bass</v>
      </c>
      <c r="D8">
        <f>IF(_xlfn.SINGLE(Compras[Estado])="Recibido",_xlfn.XLOOKUP(Stock[[#This Row],[Codigo ]],_xlfn.SINGLE(Compras[Codigo]),_xlfn.SINGLE(Compras[[Cantidad ]]),"-"),"-")</f>
        <v>20</v>
      </c>
      <c r="F8">
        <f>IF(Stock[[#This Row],[Salidas]]="",Stock[[#This Row],[Entradas]],Stock[[#This Row],[Entradas]]-Stock[[#This Row],[Salidas]])</f>
        <v>20</v>
      </c>
      <c r="G8" s="2">
        <f>IF(_xlfn.SINGLE(Compras[Estado])="Recibido",_xlfn.XLOOKUP(Stock[[#This Row],[Codigo ]],_xlfn.SINGLE(Compras[Codigo]),_xlfn.SINGLE(Compras[[Costo unitario ]]),"-"),"-")</f>
        <v>9.5767999999999986</v>
      </c>
      <c r="I8" s="2">
        <f>Stock[[#This Row],[Costo unit. ]]+Stock[[#This Row],[Envio unit.]]</f>
        <v>9.5767999999999986</v>
      </c>
      <c r="J8" s="2">
        <f>Stock[[#This Row],[Costo real ]]*37</f>
        <v>354.34159999999997</v>
      </c>
      <c r="K8" s="11">
        <f t="shared" si="0"/>
        <v>175.26160000000002</v>
      </c>
      <c r="L8" s="11">
        <f>Stock[[#This Row],[Precio de venta (C$)]]-Stock[[#This Row],[Costo real (C$)]]</f>
        <v>-179.07999999999996</v>
      </c>
    </row>
    <row r="9" spans="1:13" x14ac:dyDescent="0.25">
      <c r="A9" t="s">
        <v>84</v>
      </c>
      <c r="B9" t="str">
        <f>IF(_xlfn.SINGLE(Compras[Estado])="Recibido",_xlfn.XLOOKUP(Stock[[#This Row],[Codigo ]],_xlfn.SINGLE(Compras[Codigo]),_xlfn.SINGLE(Compras[Lote]),"-"),"-")</f>
        <v>LT1</v>
      </c>
      <c r="C9" t="str">
        <f>IF(_xlfn.SINGLE(Compras[Estado])="Recibido",_xlfn.XLOOKUP(Stock[[#This Row],[Codigo ]],_xlfn.SINGLE(Compras[Codigo]),_xlfn.SINGLE(Compras[Producto]),"-"),"-")</f>
        <v>KZ AZ09 Pin C</v>
      </c>
      <c r="D9">
        <f>IF(_xlfn.SINGLE(Compras[Estado])="Recibido",_xlfn.XLOOKUP(Stock[[#This Row],[Codigo ]],_xlfn.SINGLE(Compras[Codigo]),_xlfn.SINGLE(Compras[[Cantidad ]]),"-"),"-")</f>
        <v>15</v>
      </c>
      <c r="F9">
        <f>IF(Stock[[#This Row],[Salidas]]="",Stock[[#This Row],[Entradas]],Stock[[#This Row],[Entradas]]-Stock[[#This Row],[Salidas]])</f>
        <v>15</v>
      </c>
      <c r="G9" s="2">
        <f>IF(_xlfn.SINGLE(Compras[Estado])="Recibido",_xlfn.XLOOKUP(Stock[[#This Row],[Codigo ]],_xlfn.SINGLE(Compras[Codigo]),_xlfn.SINGLE(Compras[[Costo unitario ]]),"-"),"-")</f>
        <v>13.706799999999999</v>
      </c>
      <c r="I9" s="2">
        <f>Stock[[#This Row],[Costo unit. ]]+Stock[[#This Row],[Envio unit.]]</f>
        <v>13.706799999999999</v>
      </c>
      <c r="J9" s="2">
        <f>Stock[[#This Row],[Costo real ]]*37</f>
        <v>507.15159999999997</v>
      </c>
      <c r="K9" s="11">
        <f t="shared" si="0"/>
        <v>175.26160000000002</v>
      </c>
      <c r="L9" s="11">
        <f>Stock[[#This Row],[Precio de venta (C$)]]-Stock[[#This Row],[Costo real (C$)]]</f>
        <v>-331.89</v>
      </c>
    </row>
    <row r="10" spans="1:13" x14ac:dyDescent="0.25">
      <c r="A10" t="s">
        <v>85</v>
      </c>
      <c r="B10" t="str">
        <f>IF(_xlfn.SINGLE(Compras[Estado])="Recibido",_xlfn.XLOOKUP(Stock[[#This Row],[Codigo ]],_xlfn.SINGLE(Compras[Codigo]),_xlfn.SINGLE(Compras[Lote]),"-"),"-")</f>
        <v>LT1</v>
      </c>
      <c r="C10" t="str">
        <f>IF(_xlfn.SINGLE(Compras[Estado])="Recibido",_xlfn.XLOOKUP(Stock[[#This Row],[Codigo ]],_xlfn.SINGLE(Compras[Codigo]),_xlfn.SINGLE(Compras[Producto]),"-"),"-")</f>
        <v>KZ Castor | Mic | Bass</v>
      </c>
      <c r="D10">
        <f>IF(_xlfn.SINGLE(Compras[Estado])="Recibido",_xlfn.XLOOKUP(Stock[[#This Row],[Codigo ]],_xlfn.SINGLE(Compras[Codigo]),_xlfn.SINGLE(Compras[[Cantidad ]]),"-"),"-")</f>
        <v>20</v>
      </c>
      <c r="F10">
        <f>IF(Stock[[#This Row],[Salidas]]="",Stock[[#This Row],[Entradas]],Stock[[#This Row],[Entradas]]-Stock[[#This Row],[Salidas]])</f>
        <v>20</v>
      </c>
      <c r="G10" s="2">
        <f>IF(_xlfn.SINGLE(Compras[Estado])="Recibido",_xlfn.XLOOKUP(Stock[[#This Row],[Codigo ]],_xlfn.SINGLE(Compras[Codigo]),_xlfn.SINGLE(Compras[[Costo unitario ]]),"-"),"-")</f>
        <v>9.5767999999999986</v>
      </c>
      <c r="I10" s="2">
        <f>Stock[[#This Row],[Costo unit. ]]+Stock[[#This Row],[Envio unit.]]</f>
        <v>9.5767999999999986</v>
      </c>
      <c r="J10" s="2">
        <f>Stock[[#This Row],[Costo real ]]*37</f>
        <v>354.34159999999997</v>
      </c>
      <c r="K10" s="11">
        <f t="shared" si="0"/>
        <v>716.17570000000001</v>
      </c>
      <c r="L10" s="11">
        <f>Stock[[#This Row],[Precio de venta (C$)]]-Stock[[#This Row],[Costo real (C$)]]</f>
        <v>361.83410000000003</v>
      </c>
    </row>
    <row r="11" spans="1:13" x14ac:dyDescent="0.25">
      <c r="A11" t="s">
        <v>88</v>
      </c>
      <c r="B11" t="str">
        <f>IF(_xlfn.SINGLE(Compras[Estado])="Recibido",_xlfn.XLOOKUP(Stock[[#This Row],[Codigo ]],_xlfn.SINGLE(Compras[Codigo]),_xlfn.SINGLE(Compras[Lote]),"-"),"-")</f>
        <v>LT1</v>
      </c>
      <c r="C11" t="str">
        <f>IF(_xlfn.SINGLE(Compras[Estado])="Recibido",_xlfn.XLOOKUP(Stock[[#This Row],[Codigo ]],_xlfn.SINGLE(Compras[Codigo]),_xlfn.SINGLE(Compras[Producto]),"-"),"-")</f>
        <v>EDX Pro X | Mic | Transparente</v>
      </c>
      <c r="D11">
        <f>IF(_xlfn.SINGLE(Compras[Estado])="Recibido",_xlfn.XLOOKUP(Stock[[#This Row],[Codigo ]],_xlfn.SINGLE(Compras[Codigo]),_xlfn.SINGLE(Compras[[Cantidad ]]),"-"),"-")</f>
        <v>20</v>
      </c>
      <c r="F11">
        <f>IF(Stock[[#This Row],[Salidas]]="",Stock[[#This Row],[Entradas]],Stock[[#This Row],[Entradas]]-Stock[[#This Row],[Salidas]])</f>
        <v>20</v>
      </c>
      <c r="G11" s="2">
        <f>IF(_xlfn.SINGLE(Compras[Estado])="Recibido",_xlfn.XLOOKUP(Stock[[#This Row],[Codigo ]],_xlfn.SINGLE(Compras[Codigo]),_xlfn.SINGLE(Compras[[Costo unitario ]]),"-"),"-")</f>
        <v>4.7368000000000006</v>
      </c>
      <c r="I11" s="2">
        <f>Stock[[#This Row],[Costo unit. ]]+Stock[[#This Row],[Envio unit.]]</f>
        <v>4.7368000000000006</v>
      </c>
      <c r="J11" s="2">
        <f>Stock[[#This Row],[Costo real ]]*37</f>
        <v>175.26160000000002</v>
      </c>
      <c r="K11" s="11">
        <f t="shared" si="0"/>
        <v>510.82569999999998</v>
      </c>
      <c r="L11" s="11">
        <f>Stock[[#This Row],[Precio de venta (C$)]]-Stock[[#This Row],[Costo real (C$)]]</f>
        <v>335.56409999999994</v>
      </c>
    </row>
    <row r="12" spans="1:13" x14ac:dyDescent="0.25">
      <c r="A12" t="s">
        <v>89</v>
      </c>
      <c r="B12" t="str">
        <f>IF(_xlfn.SINGLE(Compras[Estado])="Recibido",_xlfn.XLOOKUP(Stock[[#This Row],[Codigo ]],_xlfn.SINGLE(Compras[Codigo]),_xlfn.SINGLE(Compras[Lote]),"-"),"-")</f>
        <v>LT1</v>
      </c>
      <c r="C12" t="str">
        <f>IF(_xlfn.SINGLE(Compras[Estado])="Recibido",_xlfn.XLOOKUP(Stock[[#This Row],[Codigo ]],_xlfn.SINGLE(Compras[Codigo]),_xlfn.SINGLE(Compras[Producto]),"-"),"-")</f>
        <v xml:space="preserve">KZ Castor Pro Bass | Mic </v>
      </c>
      <c r="D12">
        <f>IF(_xlfn.SINGLE(Compras[Estado])="Recibido",_xlfn.XLOOKUP(Stock[[#This Row],[Codigo ]],_xlfn.SINGLE(Compras[Codigo]),_xlfn.SINGLE(Compras[[Cantidad ]]),"-"),"-")</f>
        <v>40</v>
      </c>
      <c r="F12">
        <f>IF(Stock[[#This Row],[Salidas]]="",Stock[[#This Row],[Entradas]],Stock[[#This Row],[Entradas]]-Stock[[#This Row],[Salidas]])</f>
        <v>40</v>
      </c>
      <c r="G12" s="2">
        <f>IF(_xlfn.SINGLE(Compras[Estado])="Recibido",_xlfn.XLOOKUP(Stock[[#This Row],[Codigo ]],_xlfn.SINGLE(Compras[Codigo]),_xlfn.SINGLE(Compras[[Costo unitario ]]),"-"),"-")</f>
        <v>11.326799999999999</v>
      </c>
      <c r="I12" s="2">
        <f>Stock[[#This Row],[Costo unit. ]]+Stock[[#This Row],[Envio unit.]]</f>
        <v>11.326799999999999</v>
      </c>
      <c r="J12" s="2">
        <f>Stock[[#This Row],[Costo real ]]*37</f>
        <v>419.09159999999997</v>
      </c>
      <c r="K12" s="11">
        <f t="shared" si="0"/>
        <v>880.82569999999998</v>
      </c>
      <c r="L12" s="11">
        <f>Stock[[#This Row],[Precio de venta (C$)]]-Stock[[#This Row],[Costo real (C$)]]</f>
        <v>461.73410000000001</v>
      </c>
    </row>
    <row r="13" spans="1:13" x14ac:dyDescent="0.25">
      <c r="A13" t="s">
        <v>90</v>
      </c>
      <c r="B13" t="str">
        <f>IF(_xlfn.SINGLE(Compras[Estado])="Recibido",_xlfn.XLOOKUP(Stock[[#This Row],[Codigo ]],_xlfn.SINGLE(Compras[Codigo]),_xlfn.SINGLE(Compras[Lote]),"-"),"-")</f>
        <v>LT1</v>
      </c>
      <c r="C13" t="str">
        <f>IF(_xlfn.SINGLE(Compras[Estado])="Recibido",_xlfn.XLOOKUP(Stock[[#This Row],[Codigo ]],_xlfn.SINGLE(Compras[Codigo]),_xlfn.SINGLE(Compras[Producto]),"-"),"-")</f>
        <v>KZ Castor Pro Harman| Mic</v>
      </c>
      <c r="D13">
        <f>IF(_xlfn.SINGLE(Compras[Estado])="Recibido",_xlfn.XLOOKUP(Stock[[#This Row],[Codigo ]],_xlfn.SINGLE(Compras[Codigo]),_xlfn.SINGLE(Compras[[Cantidad ]]),"-"),"-")</f>
        <v>10</v>
      </c>
      <c r="F13">
        <f>IF(Stock[[#This Row],[Salidas]]="",Stock[[#This Row],[Entradas]],Stock[[#This Row],[Entradas]]-Stock[[#This Row],[Salidas]])</f>
        <v>10</v>
      </c>
      <c r="G13" s="2">
        <f>IF(_xlfn.SINGLE(Compras[Estado])="Recibido",_xlfn.XLOOKUP(Stock[[#This Row],[Codigo ]],_xlfn.SINGLE(Compras[Codigo]),_xlfn.SINGLE(Compras[[Costo unitario ]]),"-"),"-")</f>
        <v>9.7367999999999988</v>
      </c>
      <c r="I13" s="2">
        <f>Stock[[#This Row],[Costo unit. ]]+Stock[[#This Row],[Envio unit.]]</f>
        <v>9.7367999999999988</v>
      </c>
      <c r="J13" s="2">
        <f>Stock[[#This Row],[Costo real ]]*37</f>
        <v>360.26159999999993</v>
      </c>
      <c r="K13" s="11">
        <f t="shared" si="0"/>
        <v>880.82569999999998</v>
      </c>
      <c r="L13" s="11">
        <f>Stock[[#This Row],[Precio de venta (C$)]]-Stock[[#This Row],[Costo real (C$)]]</f>
        <v>520.56410000000005</v>
      </c>
    </row>
    <row r="14" spans="1:13" x14ac:dyDescent="0.25">
      <c r="A14" t="s">
        <v>91</v>
      </c>
      <c r="B14" t="str">
        <f>IF(_xlfn.SINGLE(Compras[Estado])="Recibido",_xlfn.XLOOKUP(Stock[[#This Row],[Codigo ]],_xlfn.SINGLE(Compras[Codigo]),_xlfn.SINGLE(Compras[Lote]),"-"),"-")</f>
        <v>LT1</v>
      </c>
      <c r="C14" t="str">
        <f>IF(_xlfn.SINGLE(Compras[Estado])="Recibido",_xlfn.XLOOKUP(Stock[[#This Row],[Codigo ]],_xlfn.SINGLE(Compras[Codigo]),_xlfn.SINGLE(Compras[Producto]),"-"),"-")</f>
        <v>EDX Pro | Mic | Transparente</v>
      </c>
      <c r="D14">
        <f>IF(_xlfn.SINGLE(Compras[Estado])="Recibido",_xlfn.XLOOKUP(Stock[[#This Row],[Codigo ]],_xlfn.SINGLE(Compras[Codigo]),_xlfn.SINGLE(Compras[[Cantidad ]]),"-"),"-")</f>
        <v>5</v>
      </c>
      <c r="F14">
        <f>IF(Stock[[#This Row],[Salidas]]="",Stock[[#This Row],[Entradas]],Stock[[#This Row],[Entradas]]-Stock[[#This Row],[Salidas]])</f>
        <v>5</v>
      </c>
      <c r="G14" s="2">
        <f>IF(_xlfn.SINGLE(Compras[Estado])="Recibido",_xlfn.XLOOKUP(Stock[[#This Row],[Codigo ]],_xlfn.SINGLE(Compras[Codigo]),_xlfn.SINGLE(Compras[[Costo unitario ]]),"-"),"-")</f>
        <v>4.8167999999999997</v>
      </c>
      <c r="I14" s="2">
        <f>Stock[[#This Row],[Costo unit. ]]+Stock[[#This Row],[Envio unit.]]</f>
        <v>4.8167999999999997</v>
      </c>
      <c r="J14" s="2">
        <f>Stock[[#This Row],[Costo real ]]*37</f>
        <v>178.2216</v>
      </c>
      <c r="K14" s="11">
        <f t="shared" si="0"/>
        <v>540.0557</v>
      </c>
      <c r="L14" s="11">
        <f>Stock[[#This Row],[Precio de venta (C$)]]-Stock[[#This Row],[Costo real (C$)]]</f>
        <v>361.83410000000003</v>
      </c>
    </row>
    <row r="15" spans="1:13" x14ac:dyDescent="0.25">
      <c r="A15" t="s">
        <v>92</v>
      </c>
      <c r="B15" t="str">
        <f>IF(_xlfn.SINGLE(Compras[Estado])="Recibido",_xlfn.XLOOKUP(Stock[[#This Row],[Codigo ]],_xlfn.SINGLE(Compras[Codigo]),_xlfn.SINGLE(Compras[Lote]),"-"),"-")</f>
        <v>LT1</v>
      </c>
      <c r="C15" t="str">
        <f>IF(_xlfn.SINGLE(Compras[Estado])="Recibido",_xlfn.XLOOKUP(Stock[[#This Row],[Codigo ]],_xlfn.SINGLE(Compras[Codigo]),_xlfn.SINGLE(Compras[Producto]),"-"),"-")</f>
        <v xml:space="preserve">EDX Pro X | Mic | Negro </v>
      </c>
      <c r="D15">
        <f>IF(_xlfn.SINGLE(Compras[Estado])="Recibido",_xlfn.XLOOKUP(Stock[[#This Row],[Codigo ]],_xlfn.SINGLE(Compras[Codigo]),_xlfn.SINGLE(Compras[[Cantidad ]]),"-"),"-")</f>
        <v>120</v>
      </c>
      <c r="F15">
        <f>IF(Stock[[#This Row],[Salidas]]="",Stock[[#This Row],[Entradas]],Stock[[#This Row],[Entradas]]-Stock[[#This Row],[Salidas]])</f>
        <v>120</v>
      </c>
      <c r="G15" s="2">
        <f>IF(_xlfn.SINGLE(Compras[Estado])="Recibido",_xlfn.XLOOKUP(Stock[[#This Row],[Codigo ]],_xlfn.SINGLE(Compras[Codigo]),_xlfn.SINGLE(Compras[[Costo unitario ]]),"-"),"-")</f>
        <v>4.7368000000000006</v>
      </c>
      <c r="I15" s="2">
        <f>Stock[[#This Row],[Costo unit. ]]+Stock[[#This Row],[Envio unit.]]</f>
        <v>4.7368000000000006</v>
      </c>
      <c r="J15" s="2">
        <f>Stock[[#This Row],[Costo real ]]*37</f>
        <v>175.26160000000002</v>
      </c>
      <c r="K15" s="11">
        <f t="shared" si="0"/>
        <v>540.0557</v>
      </c>
      <c r="L15" s="11">
        <f>Stock[[#This Row],[Precio de venta (C$)]]-Stock[[#This Row],[Costo real (C$)]]</f>
        <v>364.79409999999996</v>
      </c>
    </row>
    <row r="16" spans="1:13" x14ac:dyDescent="0.25">
      <c r="A16" t="s">
        <v>93</v>
      </c>
      <c r="B16" t="str">
        <f>IF(_xlfn.SINGLE(Compras[Estado])="Recibido",_xlfn.XLOOKUP(Stock[[#This Row],[Codigo ]],_xlfn.SINGLE(Compras[Codigo]),_xlfn.SINGLE(Compras[Lote]),"-"),"-")</f>
        <v>LT1</v>
      </c>
      <c r="C16" t="str">
        <f>IF(_xlfn.SINGLE(Compras[Estado])="Recibido",_xlfn.XLOOKUP(Stock[[#This Row],[Codigo ]],_xlfn.SINGLE(Compras[Codigo]),_xlfn.SINGLE(Compras[Producto]),"-"),"-")</f>
        <v>EDX Pro X | Mic | Transparente</v>
      </c>
      <c r="D16">
        <f>IF(_xlfn.SINGLE(Compras[Estado])="Recibido",_xlfn.XLOOKUP(Stock[[#This Row],[Codigo ]],_xlfn.SINGLE(Compras[Codigo]),_xlfn.SINGLE(Compras[[Cantidad ]]),"-"),"-")</f>
        <v>20</v>
      </c>
      <c r="F16">
        <f>IF(Stock[[#This Row],[Salidas]]="",Stock[[#This Row],[Entradas]],Stock[[#This Row],[Entradas]]-Stock[[#This Row],[Salidas]])</f>
        <v>20</v>
      </c>
      <c r="G16" s="2">
        <f>IF(_xlfn.SINGLE(Compras[Estado])="Recibido",_xlfn.XLOOKUP(Stock[[#This Row],[Codigo ]],_xlfn.SINGLE(Compras[Codigo]),_xlfn.SINGLE(Compras[[Costo unitario ]]),"-"),"-")</f>
        <v>4.7368000000000006</v>
      </c>
      <c r="I16" s="2">
        <f>Stock[[#This Row],[Costo unit. ]]+Stock[[#This Row],[Envio unit.]]</f>
        <v>4.7368000000000006</v>
      </c>
      <c r="J16" s="2">
        <f>Stock[[#This Row],[Costo real ]]*37</f>
        <v>175.26160000000002</v>
      </c>
      <c r="K16" s="11">
        <f t="shared" si="0"/>
        <v>158.21570000000003</v>
      </c>
      <c r="L16" s="11">
        <f>Stock[[#This Row],[Precio de venta (C$)]]-Stock[[#This Row],[Costo real (C$)]]</f>
        <v>-17.045899999999989</v>
      </c>
    </row>
    <row r="17" spans="1:12" x14ac:dyDescent="0.25">
      <c r="A17" t="s">
        <v>94</v>
      </c>
      <c r="B17" t="str">
        <f>IF(_xlfn.SINGLE(Compras[Estado])="Recibido",_xlfn.XLOOKUP(Stock[[#This Row],[Codigo ]],_xlfn.SINGLE(Compras[Codigo]),_xlfn.SINGLE(Compras[Lote]),"-"),"-")</f>
        <v>LT1</v>
      </c>
      <c r="C17" t="str">
        <f>IF(_xlfn.SINGLE(Compras[Estado])="Recibido",_xlfn.XLOOKUP(Stock[[#This Row],[Codigo ]],_xlfn.SINGLE(Compras[Codigo]),_xlfn.SINGLE(Compras[Producto]),"-"),"-")</f>
        <v>EDX Pro X | Mic | Gris</v>
      </c>
      <c r="D17">
        <f>IF(_xlfn.SINGLE(Compras[Estado])="Recibido",_xlfn.XLOOKUP(Stock[[#This Row],[Codigo ]],_xlfn.SINGLE(Compras[Codigo]),_xlfn.SINGLE(Compras[[Cantidad ]]),"-"),"-")</f>
        <v>20</v>
      </c>
      <c r="F17">
        <f>IF(Stock[[#This Row],[Salidas]]="",Stock[[#This Row],[Entradas]],Stock[[#This Row],[Entradas]]-Stock[[#This Row],[Salidas]])</f>
        <v>20</v>
      </c>
      <c r="G17" s="2">
        <f>IF(_xlfn.SINGLE(Compras[Estado])="Recibido",_xlfn.XLOOKUP(Stock[[#This Row],[Codigo ]],_xlfn.SINGLE(Compras[Codigo]),_xlfn.SINGLE(Compras[[Costo unitario ]]),"-"),"-")</f>
        <v>4.7368000000000006</v>
      </c>
      <c r="I17" s="2">
        <f>Stock[[#This Row],[Costo unit. ]]+Stock[[#This Row],[Envio unit.]]</f>
        <v>4.7368000000000006</v>
      </c>
      <c r="J17" s="2">
        <f>Stock[[#This Row],[Costo real ]]*37</f>
        <v>175.26160000000002</v>
      </c>
      <c r="K17" s="11">
        <f t="shared" si="0"/>
        <v>32.471200000000003</v>
      </c>
      <c r="L17" s="11">
        <f>Stock[[#This Row],[Precio de venta (C$)]]-Stock[[#This Row],[Costo real (C$)]]</f>
        <v>-142.79040000000001</v>
      </c>
    </row>
    <row r="18" spans="1:12" x14ac:dyDescent="0.25">
      <c r="A18" t="s">
        <v>96</v>
      </c>
      <c r="B18" t="str">
        <f>IF(_xlfn.SINGLE(Compras[Estado])="Recibido",_xlfn.XLOOKUP(Stock[[#This Row],[Codigo ]],_xlfn.SINGLE(Compras[Codigo]),_xlfn.SINGLE(Compras[Lote]),"-"),"-")</f>
        <v>LT2</v>
      </c>
      <c r="C18" t="str">
        <f>IF(_xlfn.SINGLE(Compras[Estado])="Recibido",_xlfn.XLOOKUP(Stock[[#This Row],[Codigo ]],_xlfn.SINGLE(Compras[Codigo]),_xlfn.SINGLE(Compras[Producto]),"-"),"-")</f>
        <v>KZ AZ10</v>
      </c>
      <c r="D18">
        <f>IF(_xlfn.SINGLE(Compras[Estado])="Recibido",_xlfn.XLOOKUP(Stock[[#This Row],[Codigo ]],_xlfn.SINGLE(Compras[Codigo]),_xlfn.SINGLE(Compras[[Cantidad ]]),"-"),"-")</f>
        <v>5</v>
      </c>
      <c r="F18">
        <f>IF(Stock[[#This Row],[Salidas]]="",Stock[[#This Row],[Entradas]],Stock[[#This Row],[Entradas]]-Stock[[#This Row],[Salidas]])</f>
        <v>5</v>
      </c>
      <c r="G18" s="2">
        <f>IF(_xlfn.SINGLE(Compras[Estado])="Recibido",_xlfn.XLOOKUP(Stock[[#This Row],[Codigo ]],_xlfn.SINGLE(Compras[Codigo]),_xlfn.SINGLE(Compras[[Costo unitario ]]),"-"),"-")</f>
        <v>19.356100000000001</v>
      </c>
      <c r="I18" s="2">
        <f>Stock[[#This Row],[Costo unit. ]]+Stock[[#This Row],[Envio unit.]]</f>
        <v>19.356100000000001</v>
      </c>
      <c r="J18" s="2">
        <f>Stock[[#This Row],[Costo real ]]*37</f>
        <v>716.17570000000001</v>
      </c>
      <c r="K18" s="11">
        <f t="shared" si="0"/>
        <v>32.471200000000003</v>
      </c>
      <c r="L18" s="11">
        <f>Stock[[#This Row],[Precio de venta (C$)]]-Stock[[#This Row],[Costo real (C$)]]</f>
        <v>-683.70450000000005</v>
      </c>
    </row>
    <row r="19" spans="1:12" x14ac:dyDescent="0.25">
      <c r="A19" t="s">
        <v>97</v>
      </c>
      <c r="B19" t="str">
        <f>IF(_xlfn.SINGLE(Compras[Estado])="Recibido",_xlfn.XLOOKUP(Stock[[#This Row],[Codigo ]],_xlfn.SINGLE(Compras[Codigo]),_xlfn.SINGLE(Compras[Lote]),"-"),"-")</f>
        <v>LT2</v>
      </c>
      <c r="C19" t="str">
        <f>IF(_xlfn.SINGLE(Compras[Estado])="Recibido",_xlfn.XLOOKUP(Stock[[#This Row],[Codigo ]],_xlfn.SINGLE(Compras[Codigo]),_xlfn.SINGLE(Compras[Producto]),"-"),"-")</f>
        <v>KZ AZ09 Pin C</v>
      </c>
      <c r="D19">
        <f>IF(_xlfn.SINGLE(Compras[Estado])="Recibido",_xlfn.XLOOKUP(Stock[[#This Row],[Codigo ]],_xlfn.SINGLE(Compras[Codigo]),_xlfn.SINGLE(Compras[[Cantidad ]]),"-"),"-")</f>
        <v>25</v>
      </c>
      <c r="F19">
        <f>IF(Stock[[#This Row],[Salidas]]="",Stock[[#This Row],[Entradas]],Stock[[#This Row],[Entradas]]-Stock[[#This Row],[Salidas]])</f>
        <v>25</v>
      </c>
      <c r="G19" s="2">
        <f>IF(_xlfn.SINGLE(Compras[Estado])="Recibido",_xlfn.XLOOKUP(Stock[[#This Row],[Codigo ]],_xlfn.SINGLE(Compras[Codigo]),_xlfn.SINGLE(Compras[[Costo unitario ]]),"-"),"-")</f>
        <v>13.806099999999999</v>
      </c>
      <c r="I19" s="2">
        <f>Stock[[#This Row],[Costo unit. ]]+Stock[[#This Row],[Envio unit.]]</f>
        <v>13.806099999999999</v>
      </c>
      <c r="J19" s="2">
        <f>Stock[[#This Row],[Costo real ]]*37</f>
        <v>510.82569999999998</v>
      </c>
      <c r="K19" s="11">
        <f t="shared" si="0"/>
        <v>481.6511999999999</v>
      </c>
      <c r="L19" s="11">
        <f>Stock[[#This Row],[Precio de venta (C$)]]-Stock[[#This Row],[Costo real (C$)]]</f>
        <v>-29.17450000000008</v>
      </c>
    </row>
    <row r="20" spans="1:12" x14ac:dyDescent="0.25">
      <c r="A20" t="s">
        <v>98</v>
      </c>
      <c r="B20" t="str">
        <f>IF(_xlfn.SINGLE(Compras[Estado])="Recibido",_xlfn.XLOOKUP(Stock[[#This Row],[Codigo ]],_xlfn.SINGLE(Compras[Codigo]),_xlfn.SINGLE(Compras[Lote]),"-"),"-")</f>
        <v>LT2</v>
      </c>
      <c r="C20" t="str">
        <f>IF(_xlfn.SINGLE(Compras[Estado])="Recibido",_xlfn.XLOOKUP(Stock[[#This Row],[Codigo ]],_xlfn.SINGLE(Compras[Codigo]),_xlfn.SINGLE(Compras[Producto]),"-"),"-")</f>
        <v xml:space="preserve">KZ AZ09 Pro </v>
      </c>
      <c r="D20">
        <f>IF(_xlfn.SINGLE(Compras[Estado])="Recibido",_xlfn.XLOOKUP(Stock[[#This Row],[Codigo ]],_xlfn.SINGLE(Compras[Codigo]),_xlfn.SINGLE(Compras[[Cantidad ]]),"-"),"-")</f>
        <v>2</v>
      </c>
      <c r="F20">
        <f>IF(Stock[[#This Row],[Salidas]]="",Stock[[#This Row],[Entradas]],Stock[[#This Row],[Entradas]]-Stock[[#This Row],[Salidas]])</f>
        <v>2</v>
      </c>
      <c r="G20" s="2">
        <f>IF(_xlfn.SINGLE(Compras[Estado])="Recibido",_xlfn.XLOOKUP(Stock[[#This Row],[Codigo ]],_xlfn.SINGLE(Compras[Codigo]),_xlfn.SINGLE(Compras[[Costo unitario ]]),"-"),"-")</f>
        <v>23.806100000000001</v>
      </c>
      <c r="I20" s="2">
        <f>Stock[[#This Row],[Costo unit. ]]+Stock[[#This Row],[Envio unit.]]</f>
        <v>23.806100000000001</v>
      </c>
      <c r="J20" s="2">
        <f>Stock[[#This Row],[Costo real ]]*37</f>
        <v>880.82569999999998</v>
      </c>
      <c r="K20" s="11">
        <f t="shared" si="0"/>
        <v>481.6511999999999</v>
      </c>
      <c r="L20" s="11">
        <f>Stock[[#This Row],[Precio de venta (C$)]]-Stock[[#This Row],[Costo real (C$)]]</f>
        <v>-399.17450000000008</v>
      </c>
    </row>
    <row r="21" spans="1:12" x14ac:dyDescent="0.25">
      <c r="A21" t="s">
        <v>99</v>
      </c>
      <c r="B21" t="str">
        <f>IF(_xlfn.SINGLE(Compras[Estado])="Recibido",_xlfn.XLOOKUP(Stock[[#This Row],[Codigo ]],_xlfn.SINGLE(Compras[Codigo]),_xlfn.SINGLE(Compras[Lote]),"-"),"-")</f>
        <v>LT2</v>
      </c>
      <c r="C21" t="str">
        <f>IF(_xlfn.SINGLE(Compras[Estado])="Recibido",_xlfn.XLOOKUP(Stock[[#This Row],[Codigo ]],_xlfn.SINGLE(Compras[Codigo]),_xlfn.SINGLE(Compras[Producto]),"-"),"-")</f>
        <v xml:space="preserve">KZ AZ09 Pro </v>
      </c>
      <c r="D21">
        <f>IF(_xlfn.SINGLE(Compras[Estado])="Recibido",_xlfn.XLOOKUP(Stock[[#This Row],[Codigo ]],_xlfn.SINGLE(Compras[Codigo]),_xlfn.SINGLE(Compras[[Cantidad ]]),"-"),"-")</f>
        <v>3</v>
      </c>
      <c r="F21">
        <f>IF(Stock[[#This Row],[Salidas]]="",Stock[[#This Row],[Entradas]],Stock[[#This Row],[Entradas]]-Stock[[#This Row],[Salidas]])</f>
        <v>3</v>
      </c>
      <c r="G21" s="2">
        <f>IF(_xlfn.SINGLE(Compras[Estado])="Recibido",_xlfn.XLOOKUP(Stock[[#This Row],[Codigo ]],_xlfn.SINGLE(Compras[Codigo]),_xlfn.SINGLE(Compras[[Costo unitario ]]),"-"),"-")</f>
        <v>23.806100000000001</v>
      </c>
      <c r="I21" s="2">
        <f>Stock[[#This Row],[Costo unit. ]]+Stock[[#This Row],[Envio unit.]]</f>
        <v>23.806100000000001</v>
      </c>
      <c r="J21" s="2">
        <f>Stock[[#This Row],[Costo real ]]*37</f>
        <v>880.82569999999998</v>
      </c>
      <c r="K21" s="11">
        <f t="shared" si="0"/>
        <v>29.511200000000002</v>
      </c>
      <c r="L21" s="11">
        <f>Stock[[#This Row],[Precio de venta (C$)]]-Stock[[#This Row],[Costo real (C$)]]</f>
        <v>-851.31449999999995</v>
      </c>
    </row>
    <row r="22" spans="1:12" x14ac:dyDescent="0.25">
      <c r="A22" t="s">
        <v>100</v>
      </c>
      <c r="B22" t="str">
        <f>IF(_xlfn.SINGLE(Compras[Estado])="Recibido",_xlfn.XLOOKUP(Stock[[#This Row],[Codigo ]],_xlfn.SINGLE(Compras[Codigo]),_xlfn.SINGLE(Compras[Lote]),"-"),"-")</f>
        <v>LT2</v>
      </c>
      <c r="C22" t="str">
        <f>IF(_xlfn.SINGLE(Compras[Estado])="Recibido",_xlfn.XLOOKUP(Stock[[#This Row],[Codigo ]],_xlfn.SINGLE(Compras[Codigo]),_xlfn.SINGLE(Compras[Producto]),"-"),"-")</f>
        <v>Attack Shark X11 | White</v>
      </c>
      <c r="D22">
        <f>IF(_xlfn.SINGLE(Compras[Estado])="Recibido",_xlfn.XLOOKUP(Stock[[#This Row],[Codigo ]],_xlfn.SINGLE(Compras[Codigo]),_xlfn.SINGLE(Compras[[Cantidad ]]),"-"),"-")</f>
        <v>15</v>
      </c>
      <c r="F22">
        <f>IF(Stock[[#This Row],[Salidas]]="",Stock[[#This Row],[Entradas]],Stock[[#This Row],[Entradas]]-Stock[[#This Row],[Salidas]])</f>
        <v>15</v>
      </c>
      <c r="G22" s="2">
        <f>IF(_xlfn.SINGLE(Compras[Estado])="Recibido",_xlfn.XLOOKUP(Stock[[#This Row],[Codigo ]],_xlfn.SINGLE(Compras[Codigo]),_xlfn.SINGLE(Compras[[Costo unitario ]]),"-"),"-")</f>
        <v>14.5961</v>
      </c>
      <c r="I22" s="2">
        <f>Stock[[#This Row],[Costo unit. ]]+Stock[[#This Row],[Envio unit.]]</f>
        <v>14.5961</v>
      </c>
      <c r="J22" s="2">
        <f>Stock[[#This Row],[Costo real ]]*37</f>
        <v>540.0557</v>
      </c>
      <c r="K22" s="11">
        <f t="shared" si="0"/>
        <v>29.511200000000002</v>
      </c>
      <c r="L22" s="11">
        <f>Stock[[#This Row],[Precio de venta (C$)]]-Stock[[#This Row],[Costo real (C$)]]</f>
        <v>-510.54449999999997</v>
      </c>
    </row>
    <row r="23" spans="1:12" x14ac:dyDescent="0.25">
      <c r="A23" t="s">
        <v>101</v>
      </c>
      <c r="B23" t="str">
        <f>IF(_xlfn.SINGLE(Compras[Estado])="Recibido",_xlfn.XLOOKUP(Stock[[#This Row],[Codigo ]],_xlfn.SINGLE(Compras[Codigo]),_xlfn.SINGLE(Compras[Lote]),"-"),"-")</f>
        <v>LT2</v>
      </c>
      <c r="C23" t="str">
        <f>IF(_xlfn.SINGLE(Compras[Estado])="Recibido",_xlfn.XLOOKUP(Stock[[#This Row],[Codigo ]],_xlfn.SINGLE(Compras[Codigo]),_xlfn.SINGLE(Compras[Producto]),"-"),"-")</f>
        <v>Attack Shark X11 | White</v>
      </c>
      <c r="D23">
        <f>IF(_xlfn.SINGLE(Compras[Estado])="Recibido",_xlfn.XLOOKUP(Stock[[#This Row],[Codigo ]],_xlfn.SINGLE(Compras[Codigo]),_xlfn.SINGLE(Compras[[Cantidad ]]),"-"),"-")</f>
        <v>15</v>
      </c>
      <c r="F23">
        <f>IF(Stock[[#This Row],[Salidas]]="",Stock[[#This Row],[Entradas]],Stock[[#This Row],[Entradas]]-Stock[[#This Row],[Salidas]])</f>
        <v>15</v>
      </c>
      <c r="G23" s="2">
        <f>IF(_xlfn.SINGLE(Compras[Estado])="Recibido",_xlfn.XLOOKUP(Stock[[#This Row],[Codigo ]],_xlfn.SINGLE(Compras[Codigo]),_xlfn.SINGLE(Compras[[Costo unitario ]]),"-"),"-")</f>
        <v>14.5961</v>
      </c>
      <c r="I23" s="2">
        <f>Stock[[#This Row],[Costo unit. ]]+Stock[[#This Row],[Envio unit.]]</f>
        <v>14.5961</v>
      </c>
      <c r="J23" s="2">
        <f>Stock[[#This Row],[Costo real ]]*37</f>
        <v>540.0557</v>
      </c>
      <c r="K23" s="11">
        <f t="shared" si="0"/>
        <v>334.76119999999997</v>
      </c>
      <c r="L23" s="11">
        <f>Stock[[#This Row],[Precio de venta (C$)]]-Stock[[#This Row],[Costo real (C$)]]</f>
        <v>-205.29450000000003</v>
      </c>
    </row>
    <row r="24" spans="1:12" x14ac:dyDescent="0.25">
      <c r="A24" t="s">
        <v>102</v>
      </c>
      <c r="B24" t="str">
        <f>IF(_xlfn.SINGLE(Compras[Estado])="Recibido",_xlfn.XLOOKUP(Stock[[#This Row],[Codigo ]],_xlfn.SINGLE(Compras[Codigo]),_xlfn.SINGLE(Compras[Lote]),"-"),"-")</f>
        <v>LT2</v>
      </c>
      <c r="C24" t="str">
        <f>IF(_xlfn.SINGLE(Compras[Estado])="Recibido",_xlfn.XLOOKUP(Stock[[#This Row],[Codigo ]],_xlfn.SINGLE(Compras[Codigo]),_xlfn.SINGLE(Compras[Producto]),"-"),"-")</f>
        <v xml:space="preserve">Cable de repuesto KZ | Tipo C </v>
      </c>
      <c r="D24">
        <f>IF(_xlfn.SINGLE(Compras[Estado])="Recibido",_xlfn.XLOOKUP(Stock[[#This Row],[Codigo ]],_xlfn.SINGLE(Compras[Codigo]),_xlfn.SINGLE(Compras[[Cantidad ]]),"-"),"-")</f>
        <v>50</v>
      </c>
      <c r="F24">
        <f>IF(Stock[[#This Row],[Salidas]]="",Stock[[#This Row],[Entradas]],Stock[[#This Row],[Entradas]]-Stock[[#This Row],[Salidas]])</f>
        <v>50</v>
      </c>
      <c r="G24" s="2">
        <f>IF(_xlfn.SINGLE(Compras[Estado])="Recibido",_xlfn.XLOOKUP(Stock[[#This Row],[Codigo ]],_xlfn.SINGLE(Compras[Codigo]),_xlfn.SINGLE(Compras[[Costo unitario ]]),"-"),"-")</f>
        <v>4.2761000000000005</v>
      </c>
      <c r="I24" s="2">
        <f>Stock[[#This Row],[Costo unit. ]]+Stock[[#This Row],[Envio unit.]]</f>
        <v>4.2761000000000005</v>
      </c>
      <c r="J24" s="2">
        <f>Stock[[#This Row],[Costo real ]]*37</f>
        <v>158.21570000000003</v>
      </c>
      <c r="K24" s="11">
        <f t="shared" si="0"/>
        <v>329.21120000000002</v>
      </c>
      <c r="L24" s="11">
        <f>Stock[[#This Row],[Precio de venta (C$)]]-Stock[[#This Row],[Costo real (C$)]]</f>
        <v>170.99549999999999</v>
      </c>
    </row>
    <row r="25" spans="1:12" x14ac:dyDescent="0.25">
      <c r="A25" t="s">
        <v>103</v>
      </c>
      <c r="B25" t="str">
        <f>IF(_xlfn.SINGLE(Compras[Estado])="Recibido",_xlfn.XLOOKUP(Stock[[#This Row],[Codigo ]],_xlfn.SINGLE(Compras[Codigo]),_xlfn.SINGLE(Compras[Lote]),"-"),"-")</f>
        <v>LT3</v>
      </c>
      <c r="C25" t="str">
        <f>IF(_xlfn.SINGLE(Compras[Estado])="Recibido",_xlfn.XLOOKUP(Stock[[#This Row],[Codigo ]],_xlfn.SINGLE(Compras[Codigo]),_xlfn.SINGLE(Compras[Producto]),"-"),"-")</f>
        <v xml:space="preserve">KZ case Oval </v>
      </c>
      <c r="D25">
        <f>IF(_xlfn.SINGLE(Compras[Estado])="Recibido",_xlfn.XLOOKUP(Stock[[#This Row],[Codigo ]],_xlfn.SINGLE(Compras[Codigo]),_xlfn.SINGLE(Compras[[Cantidad ]]),"-"),"-")</f>
        <v>25</v>
      </c>
      <c r="F25">
        <f>IF(Stock[[#This Row],[Salidas]]="",Stock[[#This Row],[Entradas]],Stock[[#This Row],[Entradas]]-Stock[[#This Row],[Salidas]])</f>
        <v>25</v>
      </c>
      <c r="G25" s="2">
        <f>IF(_xlfn.SINGLE(Compras[Estado])="Recibido",_xlfn.XLOOKUP(Stock[[#This Row],[Codigo ]],_xlfn.SINGLE(Compras[Codigo]),_xlfn.SINGLE(Compras[[Costo unitario ]]),"-"),"-")</f>
        <v>0.87760000000000005</v>
      </c>
      <c r="I25" s="2">
        <f>Stock[[#This Row],[Costo unit. ]]+Stock[[#This Row],[Envio unit.]]</f>
        <v>0.87760000000000005</v>
      </c>
      <c r="J25" s="2">
        <f>Stock[[#This Row],[Costo real ]]*37</f>
        <v>32.471200000000003</v>
      </c>
      <c r="K25" s="11">
        <f t="shared" si="0"/>
        <v>340.68119999999999</v>
      </c>
      <c r="L25" s="11">
        <f>Stock[[#This Row],[Precio de venta (C$)]]-Stock[[#This Row],[Costo real (C$)]]</f>
        <v>308.20999999999998</v>
      </c>
    </row>
    <row r="26" spans="1:12" x14ac:dyDescent="0.25">
      <c r="A26" t="s">
        <v>109</v>
      </c>
      <c r="B26" t="str">
        <f>IF(_xlfn.SINGLE(Compras[Estado])="Recibido",_xlfn.XLOOKUP(Stock[[#This Row],[Codigo ]],_xlfn.SINGLE(Compras[Codigo]),_xlfn.SINGLE(Compras[Lote]),"-"),"-")</f>
        <v>LT3</v>
      </c>
      <c r="C26" t="str">
        <f>IF(_xlfn.SINGLE(Compras[Estado])="Recibido",_xlfn.XLOOKUP(Stock[[#This Row],[Codigo ]],_xlfn.SINGLE(Compras[Codigo]),_xlfn.SINGLE(Compras[Producto]),"-"),"-")</f>
        <v xml:space="preserve">KZ case Oval </v>
      </c>
      <c r="D26">
        <f>IF(_xlfn.SINGLE(Compras[Estado])="Recibido",_xlfn.XLOOKUP(Stock[[#This Row],[Codigo ]],_xlfn.SINGLE(Compras[Codigo]),_xlfn.SINGLE(Compras[[Cantidad ]]),"-"),"-")</f>
        <v>25</v>
      </c>
      <c r="F26">
        <f>IF(Stock[[#This Row],[Salidas]]="",Stock[[#This Row],[Entradas]],Stock[[#This Row],[Entradas]]-Stock[[#This Row],[Salidas]])</f>
        <v>25</v>
      </c>
      <c r="G26" s="2">
        <f>IF(_xlfn.SINGLE(Compras[Estado])="Recibido",_xlfn.XLOOKUP(Stock[[#This Row],[Codigo ]],_xlfn.SINGLE(Compras[Codigo]),_xlfn.SINGLE(Compras[[Costo unitario ]]),"-"),"-")</f>
        <v>0.87760000000000005</v>
      </c>
      <c r="I26" s="2">
        <f>Stock[[#This Row],[Costo unit. ]]+Stock[[#This Row],[Envio unit.]]</f>
        <v>0.87760000000000005</v>
      </c>
      <c r="J26" s="2">
        <f>Stock[[#This Row],[Costo real ]]*37</f>
        <v>32.471200000000003</v>
      </c>
      <c r="K26" s="11">
        <f t="shared" si="0"/>
        <v>534.93119999999999</v>
      </c>
      <c r="L26" s="11">
        <f>Stock[[#This Row],[Precio de venta (C$)]]-Stock[[#This Row],[Costo real (C$)]]</f>
        <v>502.46</v>
      </c>
    </row>
    <row r="27" spans="1:12" x14ac:dyDescent="0.25">
      <c r="A27" t="s">
        <v>110</v>
      </c>
      <c r="B27" t="str">
        <f>IF(_xlfn.SINGLE(Compras[Estado])="Recibido",_xlfn.XLOOKUP(Stock[[#This Row],[Codigo ]],_xlfn.SINGLE(Compras[Codigo]),_xlfn.SINGLE(Compras[Lote]),"-"),"-")</f>
        <v>LT3</v>
      </c>
      <c r="C27" t="str">
        <f>IF(_xlfn.SINGLE(Compras[Estado])="Recibido",_xlfn.XLOOKUP(Stock[[#This Row],[Codigo ]],_xlfn.SINGLE(Compras[Codigo]),_xlfn.SINGLE(Compras[Producto]),"-"),"-")</f>
        <v>Mouse Attack Shark R1 | Negro</v>
      </c>
      <c r="D27">
        <f>IF(_xlfn.SINGLE(Compras[Estado])="Recibido",_xlfn.XLOOKUP(Stock[[#This Row],[Codigo ]],_xlfn.SINGLE(Compras[Codigo]),_xlfn.SINGLE(Compras[[Cantidad ]]),"-"),"-")</f>
        <v>20</v>
      </c>
      <c r="F27">
        <f>IF(Stock[[#This Row],[Salidas]]="",Stock[[#This Row],[Entradas]],Stock[[#This Row],[Entradas]]-Stock[[#This Row],[Salidas]])</f>
        <v>20</v>
      </c>
      <c r="G27" s="2">
        <f>IF(_xlfn.SINGLE(Compras[Estado])="Recibido",_xlfn.XLOOKUP(Stock[[#This Row],[Codigo ]],_xlfn.SINGLE(Compras[Codigo]),_xlfn.SINGLE(Compras[[Costo unitario ]]),"-"),"-")</f>
        <v>13.017599999999998</v>
      </c>
      <c r="I27" s="2">
        <f>Stock[[#This Row],[Costo unit. ]]+Stock[[#This Row],[Envio unit.]]</f>
        <v>13.017599999999998</v>
      </c>
      <c r="J27" s="2">
        <f>Stock[[#This Row],[Costo real ]]*37</f>
        <v>481.6511999999999</v>
      </c>
      <c r="K27" s="11">
        <f t="shared" si="0"/>
        <v>522.72120000000007</v>
      </c>
      <c r="L27" s="11">
        <f>Stock[[#This Row],[Precio de venta (C$)]]-Stock[[#This Row],[Costo real (C$)]]</f>
        <v>41.070000000000164</v>
      </c>
    </row>
    <row r="28" spans="1:12" x14ac:dyDescent="0.25">
      <c r="A28" t="s">
        <v>111</v>
      </c>
      <c r="B28" t="str">
        <f>IF(_xlfn.SINGLE(Compras[Estado])="Recibido",_xlfn.XLOOKUP(Stock[[#This Row],[Codigo ]],_xlfn.SINGLE(Compras[Codigo]),_xlfn.SINGLE(Compras[Lote]),"-"),"-")</f>
        <v>LT3</v>
      </c>
      <c r="C28" t="str">
        <f>IF(_xlfn.SINGLE(Compras[Estado])="Recibido",_xlfn.XLOOKUP(Stock[[#This Row],[Codigo ]],_xlfn.SINGLE(Compras[Codigo]),_xlfn.SINGLE(Compras[Producto]),"-"),"-")</f>
        <v>Mouse Attack Shark R1 | Blanco</v>
      </c>
      <c r="D28">
        <f>IF(_xlfn.SINGLE(Compras[Estado])="Recibido",_xlfn.XLOOKUP(Stock[[#This Row],[Codigo ]],_xlfn.SINGLE(Compras[Codigo]),_xlfn.SINGLE(Compras[[Cantidad ]]),"-"),"-")</f>
        <v>20</v>
      </c>
      <c r="F28">
        <f>IF(Stock[[#This Row],[Salidas]]="",Stock[[#This Row],[Entradas]],Stock[[#This Row],[Entradas]]-Stock[[#This Row],[Salidas]])</f>
        <v>20</v>
      </c>
      <c r="G28" s="2">
        <f>IF(_xlfn.SINGLE(Compras[Estado])="Recibido",_xlfn.XLOOKUP(Stock[[#This Row],[Codigo ]],_xlfn.SINGLE(Compras[Codigo]),_xlfn.SINGLE(Compras[[Costo unitario ]]),"-"),"-")</f>
        <v>13.017599999999998</v>
      </c>
      <c r="I28" s="2">
        <f>Stock[[#This Row],[Costo unit. ]]+Stock[[#This Row],[Envio unit.]]</f>
        <v>13.017599999999998</v>
      </c>
      <c r="J28" s="2">
        <f>Stock[[#This Row],[Costo real ]]*37</f>
        <v>481.6511999999999</v>
      </c>
      <c r="K28" s="11">
        <f t="shared" si="0"/>
        <v>522.72120000000007</v>
      </c>
      <c r="L28" s="11">
        <f>Stock[[#This Row],[Precio de venta (C$)]]-Stock[[#This Row],[Costo real (C$)]]</f>
        <v>41.070000000000164</v>
      </c>
    </row>
    <row r="29" spans="1:12" x14ac:dyDescent="0.25">
      <c r="A29" t="s">
        <v>112</v>
      </c>
      <c r="B29" t="str">
        <f>IF(_xlfn.SINGLE(Compras[Estado])="Recibido",_xlfn.XLOOKUP(Stock[[#This Row],[Codigo ]],_xlfn.SINGLE(Compras[Codigo]),_xlfn.SINGLE(Compras[Lote]),"-"),"-")</f>
        <v>LT3</v>
      </c>
      <c r="C29" t="str">
        <f>IF(_xlfn.SINGLE(Compras[Estado])="Recibido",_xlfn.XLOOKUP(Stock[[#This Row],[Codigo ]],_xlfn.SINGLE(Compras[Codigo]),_xlfn.SINGLE(Compras[Producto]),"-"),"-")</f>
        <v>Mouse Pad | Pequeño | Negro</v>
      </c>
      <c r="D29">
        <f>IF(_xlfn.SINGLE(Compras[Estado])="Recibido",_xlfn.XLOOKUP(Stock[[#This Row],[Codigo ]],_xlfn.SINGLE(Compras[Codigo]),_xlfn.SINGLE(Compras[[Cantidad ]]),"-"),"-")</f>
        <v>50</v>
      </c>
      <c r="F29">
        <f>IF(Stock[[#This Row],[Salidas]]="",Stock[[#This Row],[Entradas]],Stock[[#This Row],[Entradas]]-Stock[[#This Row],[Salidas]])</f>
        <v>50</v>
      </c>
      <c r="G29" s="2">
        <f>IF(_xlfn.SINGLE(Compras[Estado])="Recibido",_xlfn.XLOOKUP(Stock[[#This Row],[Codigo ]],_xlfn.SINGLE(Compras[Codigo]),_xlfn.SINGLE(Compras[[Costo unitario ]]),"-"),"-")</f>
        <v>0.79760000000000009</v>
      </c>
      <c r="I29" s="2">
        <f>Stock[[#This Row],[Costo unit. ]]+Stock[[#This Row],[Envio unit.]]</f>
        <v>0.79760000000000009</v>
      </c>
      <c r="J29" s="2">
        <f>Stock[[#This Row],[Costo real ]]*37</f>
        <v>29.511200000000002</v>
      </c>
      <c r="K29" s="11">
        <f t="shared" si="0"/>
        <v>575.26119999999992</v>
      </c>
      <c r="L29" s="11">
        <f>Stock[[#This Row],[Precio de venta (C$)]]-Stock[[#This Row],[Costo real (C$)]]</f>
        <v>545.74999999999989</v>
      </c>
    </row>
    <row r="30" spans="1:12" x14ac:dyDescent="0.25">
      <c r="A30" t="s">
        <v>113</v>
      </c>
      <c r="B30" t="str">
        <f>IF(_xlfn.SINGLE(Compras[Estado])="Recibido",_xlfn.XLOOKUP(Stock[[#This Row],[Codigo ]],_xlfn.SINGLE(Compras[Codigo]),_xlfn.SINGLE(Compras[Lote]),"-"),"-")</f>
        <v>LT3</v>
      </c>
      <c r="C30" t="str">
        <f>IF(_xlfn.SINGLE(Compras[Estado])="Recibido",_xlfn.XLOOKUP(Stock[[#This Row],[Codigo ]],_xlfn.SINGLE(Compras[Codigo]),_xlfn.SINGLE(Compras[Producto]),"-"),"-")</f>
        <v>Mouse Pad | Pequeño | Gris</v>
      </c>
      <c r="D30">
        <f>IF(_xlfn.SINGLE(Compras[Estado])="Recibido",_xlfn.XLOOKUP(Stock[[#This Row],[Codigo ]],_xlfn.SINGLE(Compras[Codigo]),_xlfn.SINGLE(Compras[[Cantidad ]]),"-"),"-")</f>
        <v>50</v>
      </c>
      <c r="F30">
        <f>IF(Stock[[#This Row],[Salidas]]="",Stock[[#This Row],[Entradas]],Stock[[#This Row],[Entradas]]-Stock[[#This Row],[Salidas]])</f>
        <v>50</v>
      </c>
      <c r="G30" s="2">
        <f>IF(_xlfn.SINGLE(Compras[Estado])="Recibido",_xlfn.XLOOKUP(Stock[[#This Row],[Codigo ]],_xlfn.SINGLE(Compras[Codigo]),_xlfn.SINGLE(Compras[[Costo unitario ]]),"-"),"-")</f>
        <v>0.79760000000000009</v>
      </c>
      <c r="I30" s="2">
        <f>Stock[[#This Row],[Costo unit. ]]+Stock[[#This Row],[Envio unit.]]</f>
        <v>0.79760000000000009</v>
      </c>
      <c r="J30" s="2">
        <f>Stock[[#This Row],[Costo real ]]*37</f>
        <v>29.511200000000002</v>
      </c>
      <c r="K30" s="11">
        <f t="shared" si="0"/>
        <v>575.26119999999992</v>
      </c>
      <c r="L30" s="11">
        <f>Stock[[#This Row],[Precio de venta (C$)]]-Stock[[#This Row],[Costo real (C$)]]</f>
        <v>545.74999999999989</v>
      </c>
    </row>
    <row r="31" spans="1:12" x14ac:dyDescent="0.25">
      <c r="A31" t="s">
        <v>114</v>
      </c>
      <c r="B31" t="str">
        <f>IF(_xlfn.SINGLE(Compras[Estado])="Recibido",_xlfn.XLOOKUP(Stock[[#This Row],[Codigo ]],_xlfn.SINGLE(Compras[Codigo]),_xlfn.SINGLE(Compras[Lote]),"-"),"-")</f>
        <v>LT3</v>
      </c>
      <c r="C31" t="str">
        <f>IF(_xlfn.SINGLE(Compras[Estado])="Recibido",_xlfn.XLOOKUP(Stock[[#This Row],[Codigo ]],_xlfn.SINGLE(Compras[Codigo]),_xlfn.SINGLE(Compras[Producto]),"-"),"-")</f>
        <v>Headset Onikuma K19 | Gris</v>
      </c>
      <c r="D31">
        <f>IF(_xlfn.SINGLE(Compras[Estado])="Recibido",_xlfn.XLOOKUP(Stock[[#This Row],[Codigo ]],_xlfn.SINGLE(Compras[Codigo]),_xlfn.SINGLE(Compras[[Cantidad ]]),"-"),"-")</f>
        <v>10</v>
      </c>
      <c r="F31">
        <f>IF(Stock[[#This Row],[Salidas]]="",Stock[[#This Row],[Entradas]],Stock[[#This Row],[Entradas]]-Stock[[#This Row],[Salidas]])</f>
        <v>10</v>
      </c>
      <c r="G31" s="2">
        <f>IF(_xlfn.SINGLE(Compras[Estado])="Recibido",_xlfn.XLOOKUP(Stock[[#This Row],[Codigo ]],_xlfn.SINGLE(Compras[Codigo]),_xlfn.SINGLE(Compras[[Costo unitario ]]),"-"),"-")</f>
        <v>9.0475999999999992</v>
      </c>
      <c r="I31" s="2">
        <f>Stock[[#This Row],[Costo unit. ]]+Stock[[#This Row],[Envio unit.]]</f>
        <v>9.0475999999999992</v>
      </c>
      <c r="J31" s="2">
        <f>Stock[[#This Row],[Costo real ]]*37</f>
        <v>334.76119999999997</v>
      </c>
      <c r="K31" s="11">
        <f t="shared" si="0"/>
        <v>0</v>
      </c>
      <c r="L31" s="11">
        <f>Stock[[#This Row],[Precio de venta (C$)]]-Stock[[#This Row],[Costo real (C$)]]</f>
        <v>-334.76119999999997</v>
      </c>
    </row>
    <row r="32" spans="1:12" x14ac:dyDescent="0.25">
      <c r="A32" t="s">
        <v>115</v>
      </c>
      <c r="B32" t="str">
        <f>IF(_xlfn.SINGLE(Compras[Estado])="Recibido",_xlfn.XLOOKUP(Stock[[#This Row],[Codigo ]],_xlfn.SINGLE(Compras[Codigo]),_xlfn.SINGLE(Compras[Lote]),"-"),"-")</f>
        <v>LT3</v>
      </c>
      <c r="C32" t="str">
        <f>IF(_xlfn.SINGLE(Compras[Estado])="Recibido",_xlfn.XLOOKUP(Stock[[#This Row],[Codigo ]],_xlfn.SINGLE(Compras[Codigo]),_xlfn.SINGLE(Compras[Producto]),"-"),"-")</f>
        <v xml:space="preserve">Headset Onikuma X26 </v>
      </c>
      <c r="D32">
        <f>IF(_xlfn.SINGLE(Compras[Estado])="Recibido",_xlfn.XLOOKUP(Stock[[#This Row],[Codigo ]],_xlfn.SINGLE(Compras[Codigo]),_xlfn.SINGLE(Compras[[Cantidad ]]),"-"),"-")</f>
        <v>10</v>
      </c>
      <c r="F32">
        <f>IF(Stock[[#This Row],[Salidas]]="",Stock[[#This Row],[Entradas]],Stock[[#This Row],[Entradas]]-Stock[[#This Row],[Salidas]])</f>
        <v>10</v>
      </c>
      <c r="G32" s="2">
        <f>IF(_xlfn.SINGLE(Compras[Estado])="Recibido",_xlfn.XLOOKUP(Stock[[#This Row],[Codigo ]],_xlfn.SINGLE(Compras[Codigo]),_xlfn.SINGLE(Compras[[Costo unitario ]]),"-"),"-")</f>
        <v>8.8976000000000006</v>
      </c>
      <c r="I32" s="2">
        <f>Stock[[#This Row],[Costo unit. ]]+Stock[[#This Row],[Envio unit.]]</f>
        <v>8.8976000000000006</v>
      </c>
      <c r="J32" s="2">
        <f>Stock[[#This Row],[Costo real ]]*37</f>
        <v>329.21120000000002</v>
      </c>
      <c r="K32" s="11">
        <f t="shared" si="0"/>
        <v>0</v>
      </c>
      <c r="L32" s="11">
        <f>Stock[[#This Row],[Precio de venta (C$)]]-Stock[[#This Row],[Costo real (C$)]]</f>
        <v>-329.21120000000002</v>
      </c>
    </row>
    <row r="33" spans="1:12" x14ac:dyDescent="0.25">
      <c r="A33" t="s">
        <v>116</v>
      </c>
      <c r="B33" t="str">
        <f>IF(_xlfn.SINGLE(Compras[Estado])="Recibido",_xlfn.XLOOKUP(Stock[[#This Row],[Codigo ]],_xlfn.SINGLE(Compras[Codigo]),_xlfn.SINGLE(Compras[Lote]),"-"),"-")</f>
        <v>LT3</v>
      </c>
      <c r="C33" t="str">
        <f>IF(_xlfn.SINGLE(Compras[Estado])="Recibido",_xlfn.XLOOKUP(Stock[[#This Row],[Codigo ]],_xlfn.SINGLE(Compras[Codigo]),_xlfn.SINGLE(Compras[Producto]),"-"),"-")</f>
        <v>Earbuds T9</v>
      </c>
      <c r="D33">
        <f>IF(_xlfn.SINGLE(Compras[Estado])="Recibido",_xlfn.XLOOKUP(Stock[[#This Row],[Codigo ]],_xlfn.SINGLE(Compras[Codigo]),_xlfn.SINGLE(Compras[[Cantidad ]]),"-"),"-")</f>
        <v>10</v>
      </c>
      <c r="F33">
        <f>IF(Stock[[#This Row],[Salidas]]="",Stock[[#This Row],[Entradas]],Stock[[#This Row],[Entradas]]-Stock[[#This Row],[Salidas]])</f>
        <v>10</v>
      </c>
      <c r="G33" s="2">
        <f>IF(_xlfn.SINGLE(Compras[Estado])="Recibido",_xlfn.XLOOKUP(Stock[[#This Row],[Codigo ]],_xlfn.SINGLE(Compras[Codigo]),_xlfn.SINGLE(Compras[[Costo unitario ]]),"-"),"-")</f>
        <v>9.2075999999999993</v>
      </c>
      <c r="I33" s="2">
        <f>Stock[[#This Row],[Costo unit. ]]+Stock[[#This Row],[Envio unit.]]</f>
        <v>9.2075999999999993</v>
      </c>
      <c r="J33" s="2">
        <f>Stock[[#This Row],[Costo real ]]*37</f>
        <v>340.68119999999999</v>
      </c>
      <c r="K33" s="11">
        <f t="shared" si="0"/>
        <v>0</v>
      </c>
      <c r="L33" s="11">
        <f>Stock[[#This Row],[Precio de venta (C$)]]-Stock[[#This Row],[Costo real (C$)]]</f>
        <v>-340.68119999999999</v>
      </c>
    </row>
    <row r="34" spans="1:12" x14ac:dyDescent="0.25">
      <c r="A34" t="s">
        <v>117</v>
      </c>
      <c r="B34" t="str">
        <f>IF(_xlfn.SINGLE(Compras[Estado])="Recibido",_xlfn.XLOOKUP(Stock[[#This Row],[Codigo ]],_xlfn.SINGLE(Compras[Codigo]),_xlfn.SINGLE(Compras[Lote]),"-"),"-")</f>
        <v>LT3</v>
      </c>
      <c r="C34" t="str">
        <f>IF(_xlfn.SINGLE(Compras[Estado])="Recibido",_xlfn.XLOOKUP(Stock[[#This Row],[Codigo ]],_xlfn.SINGLE(Compras[Codigo]),_xlfn.SINGLE(Compras[Producto]),"-"),"-")</f>
        <v>Microfono Lapel M9</v>
      </c>
      <c r="D34">
        <f>IF(_xlfn.SINGLE(Compras[Estado])="Recibido",_xlfn.XLOOKUP(Stock[[#This Row],[Codigo ]],_xlfn.SINGLE(Compras[Codigo]),_xlfn.SINGLE(Compras[[Cantidad ]]),"-"),"-")</f>
        <v>10</v>
      </c>
      <c r="F34">
        <f>IF(Stock[[#This Row],[Salidas]]="",Stock[[#This Row],[Entradas]],Stock[[#This Row],[Entradas]]-Stock[[#This Row],[Salidas]])</f>
        <v>10</v>
      </c>
      <c r="G34" s="2">
        <f>IF(_xlfn.SINGLE(Compras[Estado])="Recibido",_xlfn.XLOOKUP(Stock[[#This Row],[Codigo ]],_xlfn.SINGLE(Compras[Codigo]),_xlfn.SINGLE(Compras[[Costo unitario ]]),"-"),"-")</f>
        <v>14.457599999999999</v>
      </c>
      <c r="I34" s="2">
        <f>Stock[[#This Row],[Costo unit. ]]+Stock[[#This Row],[Envio unit.]]</f>
        <v>14.457599999999999</v>
      </c>
      <c r="J34" s="2">
        <f>Stock[[#This Row],[Costo real ]]*37</f>
        <v>534.93119999999999</v>
      </c>
      <c r="K34" s="11">
        <f t="shared" si="0"/>
        <v>0</v>
      </c>
      <c r="L34" s="11">
        <f>Stock[[#This Row],[Precio de venta (C$)]]-Stock[[#This Row],[Costo real (C$)]]</f>
        <v>-534.93119999999999</v>
      </c>
    </row>
    <row r="35" spans="1:12" x14ac:dyDescent="0.25">
      <c r="A35" t="s">
        <v>118</v>
      </c>
      <c r="B35" t="str">
        <f>IF(_xlfn.SINGLE(Compras[Estado])="Recibido",_xlfn.XLOOKUP(Stock[[#This Row],[Codigo ]],_xlfn.SINGLE(Compras[Codigo]),_xlfn.SINGLE(Compras[Lote]),"-"),"-")</f>
        <v>LT3</v>
      </c>
      <c r="C35" t="str">
        <f>IF(_xlfn.SINGLE(Compras[Estado])="Recibido",_xlfn.XLOOKUP(Stock[[#This Row],[Codigo ]],_xlfn.SINGLE(Compras[Codigo]),_xlfn.SINGLE(Compras[Producto]),"-"),"-")</f>
        <v>Mouse Attack Shark X8 | White</v>
      </c>
      <c r="D35">
        <f>IF(_xlfn.SINGLE(Compras[Estado])="Recibido",_xlfn.XLOOKUP(Stock[[#This Row],[Codigo ]],_xlfn.SINGLE(Compras[Codigo]),_xlfn.SINGLE(Compras[[Cantidad ]]),"-"),"-")</f>
        <v>5</v>
      </c>
      <c r="F35">
        <f>IF(Stock[[#This Row],[Salidas]]="",Stock[[#This Row],[Entradas]],Stock[[#This Row],[Entradas]]-Stock[[#This Row],[Salidas]])</f>
        <v>5</v>
      </c>
      <c r="G35" s="2">
        <f>IF(_xlfn.SINGLE(Compras[Estado])="Recibido",_xlfn.XLOOKUP(Stock[[#This Row],[Codigo ]],_xlfn.SINGLE(Compras[Codigo]),_xlfn.SINGLE(Compras[[Costo unitario ]]),"-"),"-")</f>
        <v>14.127600000000001</v>
      </c>
      <c r="I35" s="2">
        <f>Stock[[#This Row],[Costo unit. ]]+Stock[[#This Row],[Envio unit.]]</f>
        <v>14.127600000000001</v>
      </c>
      <c r="J35" s="2">
        <f>Stock[[#This Row],[Costo real ]]*37</f>
        <v>522.72120000000007</v>
      </c>
      <c r="K35" s="11">
        <f t="shared" si="0"/>
        <v>0</v>
      </c>
      <c r="L35" s="11">
        <f>Stock[[#This Row],[Precio de venta (C$)]]-Stock[[#This Row],[Costo real (C$)]]</f>
        <v>-522.72120000000007</v>
      </c>
    </row>
    <row r="36" spans="1:12" x14ac:dyDescent="0.25">
      <c r="A36" t="s">
        <v>119</v>
      </c>
      <c r="B36" t="str">
        <f>IF(_xlfn.SINGLE(Compras[Estado])="Recibido",_xlfn.XLOOKUP(Stock[[#This Row],[Codigo ]],_xlfn.SINGLE(Compras[Codigo]),_xlfn.SINGLE(Compras[Lote]),"-"),"-")</f>
        <v>LT3</v>
      </c>
      <c r="C36" t="str">
        <f>IF(_xlfn.SINGLE(Compras[Estado])="Recibido",_xlfn.XLOOKUP(Stock[[#This Row],[Codigo ]],_xlfn.SINGLE(Compras[Codigo]),_xlfn.SINGLE(Compras[Producto]),"-"),"-")</f>
        <v>Mouse Attack Shark X8 | White</v>
      </c>
      <c r="D36">
        <f>IF(_xlfn.SINGLE(Compras[Estado])="Recibido",_xlfn.XLOOKUP(Stock[[#This Row],[Codigo ]],_xlfn.SINGLE(Compras[Codigo]),_xlfn.SINGLE(Compras[[Cantidad ]]),"-"),"-")</f>
        <v>5</v>
      </c>
      <c r="F36">
        <f>IF(Stock[[#This Row],[Salidas]]="",Stock[[#This Row],[Entradas]],Stock[[#This Row],[Entradas]]-Stock[[#This Row],[Salidas]])</f>
        <v>5</v>
      </c>
      <c r="G36" s="2">
        <f>IF(_xlfn.SINGLE(Compras[Estado])="Recibido",_xlfn.XLOOKUP(Stock[[#This Row],[Codigo ]],_xlfn.SINGLE(Compras[Codigo]),_xlfn.SINGLE(Compras[[Costo unitario ]]),"-"),"-")</f>
        <v>14.127600000000001</v>
      </c>
      <c r="I36" s="2">
        <f>Stock[[#This Row],[Costo unit. ]]+Stock[[#This Row],[Envio unit.]]</f>
        <v>14.127600000000001</v>
      </c>
      <c r="J36" s="2">
        <f>Stock[[#This Row],[Costo real ]]*37</f>
        <v>522.72120000000007</v>
      </c>
      <c r="K36" s="11">
        <f t="shared" si="0"/>
        <v>0</v>
      </c>
      <c r="L36" s="11">
        <f>Stock[[#This Row],[Precio de venta (C$)]]-Stock[[#This Row],[Costo real (C$)]]</f>
        <v>-522.72120000000007</v>
      </c>
    </row>
    <row r="37" spans="1:12" x14ac:dyDescent="0.25">
      <c r="A37" t="s">
        <v>120</v>
      </c>
      <c r="B37" t="str">
        <f>IF(_xlfn.SINGLE(Compras[Estado])="Recibido",_xlfn.XLOOKUP(Stock[[#This Row],[Codigo ]],_xlfn.SINGLE(Compras[Codigo]),_xlfn.SINGLE(Compras[Lote]),"-"),"-")</f>
        <v>LT3</v>
      </c>
      <c r="C37" t="str">
        <f>IF(_xlfn.SINGLE(Compras[Estado])="Recibido",_xlfn.XLOOKUP(Stock[[#This Row],[Codigo ]],_xlfn.SINGLE(Compras[Codigo]),_xlfn.SINGLE(Compras[Producto]),"-"),"-")</f>
        <v>Mouse Attack Shark G3 Pro | White</v>
      </c>
      <c r="D37">
        <f>IF(_xlfn.SINGLE(Compras[Estado])="Recibido",_xlfn.XLOOKUP(Stock[[#This Row],[Codigo ]],_xlfn.SINGLE(Compras[Codigo]),_xlfn.SINGLE(Compras[[Cantidad ]]),"-"),"-")</f>
        <v>5</v>
      </c>
      <c r="F37">
        <f>IF(Stock[[#This Row],[Salidas]]="",Stock[[#This Row],[Entradas]],Stock[[#This Row],[Entradas]]-Stock[[#This Row],[Salidas]])</f>
        <v>5</v>
      </c>
      <c r="G37" s="2">
        <f>IF(_xlfn.SINGLE(Compras[Estado])="Recibido",_xlfn.XLOOKUP(Stock[[#This Row],[Codigo ]],_xlfn.SINGLE(Compras[Codigo]),_xlfn.SINGLE(Compras[[Costo unitario ]]),"-"),"-")</f>
        <v>15.547599999999999</v>
      </c>
      <c r="I37" s="2">
        <f>Stock[[#This Row],[Costo unit. ]]+Stock[[#This Row],[Envio unit.]]</f>
        <v>15.547599999999999</v>
      </c>
      <c r="J37" s="2">
        <f>Stock[[#This Row],[Costo real ]]*37</f>
        <v>575.26119999999992</v>
      </c>
      <c r="K37" s="11">
        <f t="shared" si="0"/>
        <v>0</v>
      </c>
      <c r="L37" s="11">
        <f>Stock[[#This Row],[Precio de venta (C$)]]-Stock[[#This Row],[Costo real (C$)]]</f>
        <v>-575.26119999999992</v>
      </c>
    </row>
    <row r="38" spans="1:12" x14ac:dyDescent="0.25">
      <c r="A38" t="s">
        <v>121</v>
      </c>
      <c r="B38" t="str">
        <f>IF(_xlfn.SINGLE(Compras[Estado])="Recibido",_xlfn.XLOOKUP(Stock[[#This Row],[Codigo ]],_xlfn.SINGLE(Compras[Codigo]),_xlfn.SINGLE(Compras[Lote]),"-"),"-")</f>
        <v>LT3</v>
      </c>
      <c r="C38" t="str">
        <f>IF(_xlfn.SINGLE(Compras[Estado])="Recibido",_xlfn.XLOOKUP(Stock[[#This Row],[Codigo ]],_xlfn.SINGLE(Compras[Codigo]),_xlfn.SINGLE(Compras[Producto]),"-"),"-")</f>
        <v>Mouse Attack Shark G3 Pro | White</v>
      </c>
      <c r="D38">
        <f>IF(_xlfn.SINGLE(Compras[Estado])="Recibido",_xlfn.XLOOKUP(Stock[[#This Row],[Codigo ]],_xlfn.SINGLE(Compras[Codigo]),_xlfn.SINGLE(Compras[[Cantidad ]]),"-"),"-")</f>
        <v>5</v>
      </c>
      <c r="F38">
        <f>IF(Stock[[#This Row],[Salidas]]="",Stock[[#This Row],[Entradas]],Stock[[#This Row],[Entradas]]-Stock[[#This Row],[Salidas]])</f>
        <v>5</v>
      </c>
      <c r="G38" s="2">
        <f>IF(_xlfn.SINGLE(Compras[Estado])="Recibido",_xlfn.XLOOKUP(Stock[[#This Row],[Codigo ]],_xlfn.SINGLE(Compras[Codigo]),_xlfn.SINGLE(Compras[[Costo unitario ]]),"-"),"-")</f>
        <v>15.547599999999999</v>
      </c>
      <c r="I38" s="2">
        <f>Stock[[#This Row],[Costo unit. ]]+Stock[[#This Row],[Envio unit.]]</f>
        <v>15.547599999999999</v>
      </c>
      <c r="J38" s="2">
        <f>Stock[[#This Row],[Costo real ]]*37</f>
        <v>575.26119999999992</v>
      </c>
      <c r="K38" s="11">
        <f t="shared" si="0"/>
        <v>0</v>
      </c>
      <c r="L38" s="11">
        <f>Stock[[#This Row],[Precio de venta (C$)]]-Stock[[#This Row],[Costo real (C$)]]</f>
        <v>-575.26119999999992</v>
      </c>
    </row>
  </sheetData>
  <phoneticPr fontId="1" type="noConversion"/>
  <conditionalFormatting sqref="J2:J3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B5BC-D2BD-408C-971C-50BAD0FBC2F2}">
  <dimension ref="A1:K50"/>
  <sheetViews>
    <sheetView workbookViewId="0">
      <selection activeCell="E1" sqref="E1:E1048576"/>
    </sheetView>
  </sheetViews>
  <sheetFormatPr defaultRowHeight="15" x14ac:dyDescent="0.25"/>
  <cols>
    <col min="1" max="1" width="9.7109375" customWidth="1"/>
    <col min="2" max="2" width="7" customWidth="1"/>
    <col min="3" max="3" width="27.85546875" bestFit="1" customWidth="1"/>
    <col min="4" max="4" width="12.85546875" style="11" customWidth="1"/>
    <col min="5" max="5" width="20.85546875" style="11" customWidth="1"/>
    <col min="6" max="6" width="13.42578125" style="11" customWidth="1"/>
    <col min="7" max="7" width="21.5703125" style="11" bestFit="1" customWidth="1"/>
    <col min="8" max="8" width="13.5703125" customWidth="1"/>
    <col min="9" max="9" width="22.5703125" bestFit="1" customWidth="1"/>
    <col min="10" max="10" width="22.5703125" customWidth="1"/>
    <col min="11" max="11" width="22.5703125" bestFit="1" customWidth="1"/>
  </cols>
  <sheetData>
    <row r="1" spans="1:11" x14ac:dyDescent="0.25">
      <c r="A1" t="s">
        <v>212</v>
      </c>
      <c r="B1" t="s">
        <v>5</v>
      </c>
      <c r="C1" t="s">
        <v>1</v>
      </c>
      <c r="D1" s="11" t="s">
        <v>218</v>
      </c>
      <c r="E1" s="11" t="s">
        <v>216</v>
      </c>
      <c r="F1" s="11" t="s">
        <v>219</v>
      </c>
      <c r="G1" s="11" t="s">
        <v>222</v>
      </c>
      <c r="H1" t="s">
        <v>220</v>
      </c>
      <c r="I1" t="s">
        <v>223</v>
      </c>
      <c r="J1" t="s">
        <v>221</v>
      </c>
      <c r="K1" t="s">
        <v>224</v>
      </c>
    </row>
    <row r="2" spans="1:11" x14ac:dyDescent="0.25">
      <c r="A2" t="s">
        <v>74</v>
      </c>
      <c r="B2" t="str">
        <f>IF(_xlfn.SINGLE(Compras[Estado])="Recibido",_xlfn.XLOOKUP(Table3[[#This Row],[Codigo ]],_xlfn.SINGLE(Compras[Codigo]),_xlfn.SINGLE(Compras[Lote]),"-"),"-")</f>
        <v>LT1</v>
      </c>
      <c r="C2" t="str">
        <f>IF(_xlfn.SINGLE(Compras[Estado])="Recibido",_xlfn.XLOOKUP(Table3[[#This Row],[Codigo ]],_xlfn.SINGLE(Compras[Codigo]),_xlfn.SINGLE(Compras[Producto]),"-"),"-")</f>
        <v xml:space="preserve">EDX Pro | Mic | Azul turquesa </v>
      </c>
      <c r="D2" s="11">
        <f>IF(Table3[[#This Row],[Producto]]="","-",_xlfn.XLOOKUP(Table3[[#This Row],[Codigo ]],_xlfn.SINGLE(Stock[[Codigo ]]),_xlfn.SINGLE(Stock[Costo real (C$)]),"-"))</f>
        <v>193.17329999999998</v>
      </c>
      <c r="E2" s="11">
        <f>IF(Table3[[#This Row],[Producto]]="","-",_xlfn.XLOOKUP(Table3[[#This Row],[Codigo ]],_xlfn.SINGLE(Stock[[Codigo ]]),_xlfn.SINGLE(Stock[Precio de venta (C$)]),"-"))</f>
        <v>354.34159999999997</v>
      </c>
      <c r="F2" s="11">
        <f>0.9*Table3[[#This Row],[Precio de venta (C$)]]</f>
        <v>318.90744000000001</v>
      </c>
      <c r="G2" s="11">
        <f>Table3[[#This Row],[3+ Und]]-Table3[[#This Row],[Costo Real ]]</f>
        <v>125.73414000000002</v>
      </c>
      <c r="H2">
        <f>0.85*Table3[[#This Row],[Precio de venta (C$)]]</f>
        <v>301.19035999999994</v>
      </c>
      <c r="I2" s="11">
        <f>Table3[[#This Row],[6+ Und]]-Table3[[#This Row],[Costo Real ]]</f>
        <v>108.01705999999996</v>
      </c>
      <c r="J2">
        <f>0.8*Table3[[#This Row],[Precio de venta (C$)]]</f>
        <v>283.47327999999999</v>
      </c>
      <c r="K2" s="11">
        <f>Table3[[#This Row],[12+ Und]]-Table3[[#This Row],[Costo Real ]]</f>
        <v>90.299980000000005</v>
      </c>
    </row>
    <row r="3" spans="1:11" x14ac:dyDescent="0.25">
      <c r="A3" t="s">
        <v>75</v>
      </c>
      <c r="B3" t="str">
        <f>IF(_xlfn.SINGLE(Compras[Estado])="Recibido",_xlfn.XLOOKUP(Table3[[#This Row],[Codigo ]],_xlfn.SINGLE(Compras[Codigo]),_xlfn.SINGLE(Compras[Lote]),"-"),"-")</f>
        <v>LT1</v>
      </c>
      <c r="C3" t="str">
        <f>IF(_xlfn.SINGLE(Compras[Estado])="Recibido",_xlfn.XLOOKUP(Table3[[#This Row],[Codigo ]],_xlfn.SINGLE(Compras[Codigo]),_xlfn.SINGLE(Compras[Producto]),"-"),"-")</f>
        <v>EDX Pro | Mic | Black</v>
      </c>
      <c r="D3" s="11">
        <f>IF(Table3[[#This Row],[Producto]]="","-",_xlfn.XLOOKUP(Table3[[#This Row],[Codigo ]],_xlfn.SINGLE(Stock[[Codigo ]]),_xlfn.SINGLE(Stock[Costo real (C$)]),"-"))</f>
        <v>178.22160000000002</v>
      </c>
      <c r="E3" s="11">
        <f>IF(Table3[[#This Row],[Producto]]="","-",_xlfn.XLOOKUP(Table3[[#This Row],[Codigo ]],_xlfn.SINGLE(Stock[[Codigo ]]),_xlfn.SINGLE(Stock[Precio de venta (C$)]),"-"))</f>
        <v>175.26160000000002</v>
      </c>
      <c r="F3" s="11">
        <f>0.9*Table3[[#This Row],[Precio de venta (C$)]]</f>
        <v>157.73544000000001</v>
      </c>
      <c r="G3" s="11">
        <f>Table3[[#This Row],[3+ Und]]-Table3[[#This Row],[Costo Real ]]</f>
        <v>-20.486160000000012</v>
      </c>
      <c r="H3">
        <f>0.85*Table3[[#This Row],[Precio de venta (C$)]]</f>
        <v>148.97236000000001</v>
      </c>
      <c r="I3" s="11">
        <f>Table3[[#This Row],[6+ Und]]-Table3[[#This Row],[Costo Real ]]</f>
        <v>-29.249240000000015</v>
      </c>
      <c r="J3">
        <f>0.8*Table3[[#This Row],[Precio de venta (C$)]]</f>
        <v>140.20928000000001</v>
      </c>
      <c r="K3" s="11">
        <f>Table3[[#This Row],[12+ Und]]-Table3[[#This Row],[Costo Real ]]</f>
        <v>-38.012320000000017</v>
      </c>
    </row>
    <row r="4" spans="1:11" x14ac:dyDescent="0.25">
      <c r="A4" t="s">
        <v>76</v>
      </c>
      <c r="B4" t="str">
        <f>IF(_xlfn.SINGLE(Compras[Estado])="Recibido",_xlfn.XLOOKUP(Table3[[#This Row],[Codigo ]],_xlfn.SINGLE(Compras[Codigo]),_xlfn.SINGLE(Compras[Lote]),"-"),"-")</f>
        <v>LT1</v>
      </c>
      <c r="C4" t="str">
        <f>IF(_xlfn.SINGLE(Compras[Estado])="Recibido",_xlfn.XLOOKUP(Table3[[#This Row],[Codigo ]],_xlfn.SINGLE(Compras[Codigo]),_xlfn.SINGLE(Compras[Producto]),"-"),"-")</f>
        <v>KZ AZ09 Pin C</v>
      </c>
      <c r="D4" s="11">
        <f>IF(Table3[[#This Row],[Producto]]="","-",_xlfn.XLOOKUP(Table3[[#This Row],[Codigo ]],_xlfn.SINGLE(Stock[[Codigo ]]),_xlfn.SINGLE(Stock[Costo real (C$)]),"-"))</f>
        <v>507.15159999999997</v>
      </c>
      <c r="E4" s="11">
        <f>IF(Table3[[#This Row],[Producto]]="","-",_xlfn.XLOOKUP(Table3[[#This Row],[Codigo ]],_xlfn.SINGLE(Stock[[Codigo ]]),_xlfn.SINGLE(Stock[Precio de venta (C$)]),"-"))</f>
        <v>419.09159999999997</v>
      </c>
      <c r="F4" s="11">
        <f>0.9*Table3[[#This Row],[Precio de venta (C$)]]</f>
        <v>377.18243999999999</v>
      </c>
      <c r="G4" s="11">
        <f>Table3[[#This Row],[3+ Und]]-Table3[[#This Row],[Costo Real ]]</f>
        <v>-129.96915999999999</v>
      </c>
      <c r="H4">
        <f>0.85*Table3[[#This Row],[Precio de venta (C$)]]</f>
        <v>356.22785999999996</v>
      </c>
      <c r="I4" s="11">
        <f>Table3[[#This Row],[6+ Und]]-Table3[[#This Row],[Costo Real ]]</f>
        <v>-150.92374000000001</v>
      </c>
      <c r="J4">
        <f>0.8*Table3[[#This Row],[Precio de venta (C$)]]</f>
        <v>335.27328</v>
      </c>
      <c r="K4" s="11">
        <f>Table3[[#This Row],[12+ Und]]-Table3[[#This Row],[Costo Real ]]</f>
        <v>-171.87831999999997</v>
      </c>
    </row>
    <row r="5" spans="1:11" x14ac:dyDescent="0.25">
      <c r="A5" t="s">
        <v>77</v>
      </c>
      <c r="B5" t="str">
        <f>IF(_xlfn.SINGLE(Compras[Estado])="Recibido",_xlfn.XLOOKUP(Table3[[#This Row],[Codigo ]],_xlfn.SINGLE(Compras[Codigo]),_xlfn.SINGLE(Compras[Lote]),"-"),"-")</f>
        <v>LT1</v>
      </c>
      <c r="C5" t="str">
        <f>IF(_xlfn.SINGLE(Compras[Estado])="Recibido",_xlfn.XLOOKUP(Table3[[#This Row],[Codigo ]],_xlfn.SINGLE(Compras[Codigo]),_xlfn.SINGLE(Compras[Producto]),"-"),"-")</f>
        <v xml:space="preserve">KZ Castor Harman| Mic </v>
      </c>
      <c r="D5" s="11">
        <f>IF(Table3[[#This Row],[Producto]]="","-",_xlfn.XLOOKUP(Table3[[#This Row],[Codigo ]],_xlfn.SINGLE(Stock[[Codigo ]]),_xlfn.SINGLE(Stock[Costo real (C$)]),"-"))</f>
        <v>295.51159999999999</v>
      </c>
      <c r="E5" s="11">
        <f>IF(Table3[[#This Row],[Producto]]="","-",_xlfn.XLOOKUP(Table3[[#This Row],[Codigo ]],_xlfn.SINGLE(Stock[[Codigo ]]),_xlfn.SINGLE(Stock[Precio de venta (C$)]),"-"))</f>
        <v>360.26159999999993</v>
      </c>
      <c r="F5" s="11">
        <f>0.9*Table3[[#This Row],[Precio de venta (C$)]]</f>
        <v>324.23543999999993</v>
      </c>
      <c r="G5" s="11">
        <f>Table3[[#This Row],[3+ Und]]-Table3[[#This Row],[Costo Real ]]</f>
        <v>28.723839999999939</v>
      </c>
      <c r="H5">
        <f>0.85*Table3[[#This Row],[Precio de venta (C$)]]</f>
        <v>306.22235999999992</v>
      </c>
      <c r="I5" s="11">
        <f>Table3[[#This Row],[6+ Und]]-Table3[[#This Row],[Costo Real ]]</f>
        <v>10.710759999999937</v>
      </c>
      <c r="J5">
        <f>0.8*Table3[[#This Row],[Precio de venta (C$)]]</f>
        <v>288.20927999999998</v>
      </c>
      <c r="K5" s="11">
        <f>Table3[[#This Row],[12+ Und]]-Table3[[#This Row],[Costo Real ]]</f>
        <v>-7.3023200000000088</v>
      </c>
    </row>
    <row r="6" spans="1:11" x14ac:dyDescent="0.25">
      <c r="A6" t="s">
        <v>79</v>
      </c>
      <c r="B6" t="str">
        <f>IF(_xlfn.SINGLE(Compras[Estado])="Recibido",_xlfn.XLOOKUP(Table3[[#This Row],[Codigo ]],_xlfn.SINGLE(Compras[Codigo]),_xlfn.SINGLE(Compras[Lote]),"-"),"-")</f>
        <v>LT1</v>
      </c>
      <c r="C6" t="str">
        <f>IF(_xlfn.SINGLE(Compras[Estado])="Recibido",_xlfn.XLOOKUP(Table3[[#This Row],[Codigo ]],_xlfn.SINGLE(Compras[Codigo]),_xlfn.SINGLE(Compras[Producto]),"-"),"-")</f>
        <v>EDX Ultra | Mic | Black</v>
      </c>
      <c r="D6" s="11">
        <f>IF(Table3[[#This Row],[Producto]]="","-",_xlfn.XLOOKUP(Table3[[#This Row],[Codigo ]],_xlfn.SINGLE(Stock[[Codigo ]]),_xlfn.SINGLE(Stock[Costo real (C$)]),"-"))</f>
        <v>242.60159999999999</v>
      </c>
      <c r="E6" s="11">
        <f>IF(Table3[[#This Row],[Producto]]="","-",_xlfn.XLOOKUP(Table3[[#This Row],[Codigo ]],_xlfn.SINGLE(Stock[[Codigo ]]),_xlfn.SINGLE(Stock[Precio de venta (C$)]),"-"))</f>
        <v>178.2216</v>
      </c>
      <c r="F6" s="11">
        <f>0.9*Table3[[#This Row],[Precio de venta (C$)]]</f>
        <v>160.39944</v>
      </c>
      <c r="G6" s="11">
        <f>Table3[[#This Row],[3+ Und]]-Table3[[#This Row],[Costo Real ]]</f>
        <v>-82.202159999999992</v>
      </c>
      <c r="H6">
        <f>0.85*Table3[[#This Row],[Precio de venta (C$)]]</f>
        <v>151.48836</v>
      </c>
      <c r="I6" s="11">
        <f>Table3[[#This Row],[6+ Und]]-Table3[[#This Row],[Costo Real ]]</f>
        <v>-91.11323999999999</v>
      </c>
      <c r="J6">
        <f>0.8*Table3[[#This Row],[Precio de venta (C$)]]</f>
        <v>142.57728</v>
      </c>
      <c r="K6" s="11">
        <f>Table3[[#This Row],[12+ Und]]-Table3[[#This Row],[Costo Real ]]</f>
        <v>-100.02431999999999</v>
      </c>
    </row>
    <row r="7" spans="1:11" x14ac:dyDescent="0.25">
      <c r="A7" t="s">
        <v>82</v>
      </c>
      <c r="B7" t="str">
        <f>IF(_xlfn.SINGLE(Compras[Estado])="Recibido",_xlfn.XLOOKUP(Table3[[#This Row],[Codigo ]],_xlfn.SINGLE(Compras[Codigo]),_xlfn.SINGLE(Compras[Lote]),"-"),"-")</f>
        <v>LT1</v>
      </c>
      <c r="C7" t="str">
        <f>IF(_xlfn.SINGLE(Compras[Estado])="Recibido",_xlfn.XLOOKUP(Table3[[#This Row],[Codigo ]],_xlfn.SINGLE(Compras[Codigo]),_xlfn.SINGLE(Compras[Producto]),"-"),"-")</f>
        <v>EDX Ultra | Mic | Black</v>
      </c>
      <c r="D7" s="11">
        <f>IF(Table3[[#This Row],[Producto]]="","-",_xlfn.XLOOKUP(Table3[[#This Row],[Codigo ]],_xlfn.SINGLE(Stock[[Codigo ]]),_xlfn.SINGLE(Stock[Costo real (C$)]),"-"))</f>
        <v>242.60159999999999</v>
      </c>
      <c r="E7" s="11">
        <f>IF(Table3[[#This Row],[Producto]]="","-",_xlfn.XLOOKUP(Table3[[#This Row],[Codigo ]],_xlfn.SINGLE(Stock[[Codigo ]]),_xlfn.SINGLE(Stock[Precio de venta (C$)]),"-"))</f>
        <v>175.26160000000002</v>
      </c>
      <c r="F7" s="11">
        <f>0.9*Table3[[#This Row],[Precio de venta (C$)]]</f>
        <v>157.73544000000001</v>
      </c>
      <c r="G7" s="11">
        <f>Table3[[#This Row],[3+ Und]]-Table3[[#This Row],[Costo Real ]]</f>
        <v>-84.866159999999979</v>
      </c>
      <c r="H7">
        <f>0.85*Table3[[#This Row],[Precio de venta (C$)]]</f>
        <v>148.97236000000001</v>
      </c>
      <c r="I7" s="11">
        <f>Table3[[#This Row],[6+ Und]]-Table3[[#This Row],[Costo Real ]]</f>
        <v>-93.629239999999982</v>
      </c>
      <c r="J7">
        <f>0.8*Table3[[#This Row],[Precio de venta (C$)]]</f>
        <v>140.20928000000001</v>
      </c>
      <c r="K7" s="11">
        <f>Table3[[#This Row],[12+ Und]]-Table3[[#This Row],[Costo Real ]]</f>
        <v>-102.39231999999998</v>
      </c>
    </row>
    <row r="8" spans="1:11" x14ac:dyDescent="0.25">
      <c r="A8" t="s">
        <v>83</v>
      </c>
      <c r="B8" t="str">
        <f>IF(_xlfn.SINGLE(Compras[Estado])="Recibido",_xlfn.XLOOKUP(Table3[[#This Row],[Codigo ]],_xlfn.SINGLE(Compras[Codigo]),_xlfn.SINGLE(Compras[Lote]),"-"),"-")</f>
        <v>LT1</v>
      </c>
      <c r="C8" t="str">
        <f>IF(_xlfn.SINGLE(Compras[Estado])="Recibido",_xlfn.XLOOKUP(Table3[[#This Row],[Codigo ]],_xlfn.SINGLE(Compras[Codigo]),_xlfn.SINGLE(Compras[Producto]),"-"),"-")</f>
        <v>KZ Castor | Mic | Bass</v>
      </c>
      <c r="D8" s="11">
        <f>IF(Table3[[#This Row],[Producto]]="","-",_xlfn.XLOOKUP(Table3[[#This Row],[Codigo ]],_xlfn.SINGLE(Stock[[Codigo ]]),_xlfn.SINGLE(Stock[Costo real (C$)]),"-"))</f>
        <v>354.34159999999997</v>
      </c>
      <c r="E8" s="11">
        <f>IF(Table3[[#This Row],[Producto]]="","-",_xlfn.XLOOKUP(Table3[[#This Row],[Codigo ]],_xlfn.SINGLE(Stock[[Codigo ]]),_xlfn.SINGLE(Stock[Precio de venta (C$)]),"-"))</f>
        <v>175.26160000000002</v>
      </c>
      <c r="F8" s="11">
        <f>0.9*Table3[[#This Row],[Precio de venta (C$)]]</f>
        <v>157.73544000000001</v>
      </c>
      <c r="G8" s="11">
        <f>Table3[[#This Row],[3+ Und]]-Table3[[#This Row],[Costo Real ]]</f>
        <v>-196.60615999999996</v>
      </c>
      <c r="H8">
        <f>0.85*Table3[[#This Row],[Precio de venta (C$)]]</f>
        <v>148.97236000000001</v>
      </c>
      <c r="I8" s="11">
        <f>Table3[[#This Row],[6+ Und]]-Table3[[#This Row],[Costo Real ]]</f>
        <v>-205.36923999999996</v>
      </c>
      <c r="J8">
        <f>0.8*Table3[[#This Row],[Precio de venta (C$)]]</f>
        <v>140.20928000000001</v>
      </c>
      <c r="K8" s="11">
        <f>Table3[[#This Row],[12+ Und]]-Table3[[#This Row],[Costo Real ]]</f>
        <v>-214.13231999999996</v>
      </c>
    </row>
    <row r="9" spans="1:11" x14ac:dyDescent="0.25">
      <c r="A9" t="s">
        <v>84</v>
      </c>
      <c r="B9" t="str">
        <f>IF(_xlfn.SINGLE(Compras[Estado])="Recibido",_xlfn.XLOOKUP(Table3[[#This Row],[Codigo ]],_xlfn.SINGLE(Compras[Codigo]),_xlfn.SINGLE(Compras[Lote]),"-"),"-")</f>
        <v>LT1</v>
      </c>
      <c r="C9" t="str">
        <f>IF(_xlfn.SINGLE(Compras[Estado])="Recibido",_xlfn.XLOOKUP(Table3[[#This Row],[Codigo ]],_xlfn.SINGLE(Compras[Codigo]),_xlfn.SINGLE(Compras[Producto]),"-"),"-")</f>
        <v>KZ AZ09 Pin C</v>
      </c>
      <c r="D9" s="11">
        <f>IF(Table3[[#This Row],[Producto]]="","-",_xlfn.XLOOKUP(Table3[[#This Row],[Codigo ]],_xlfn.SINGLE(Stock[[Codigo ]]),_xlfn.SINGLE(Stock[Costo real (C$)]),"-"))</f>
        <v>507.15159999999997</v>
      </c>
      <c r="E9" s="11">
        <f>IF(Table3[[#This Row],[Producto]]="","-",_xlfn.XLOOKUP(Table3[[#This Row],[Codigo ]],_xlfn.SINGLE(Stock[[Codigo ]]),_xlfn.SINGLE(Stock[Precio de venta (C$)]),"-"))</f>
        <v>175.26160000000002</v>
      </c>
      <c r="F9" s="11">
        <f>0.9*Table3[[#This Row],[Precio de venta (C$)]]</f>
        <v>157.73544000000001</v>
      </c>
      <c r="G9" s="11">
        <f>Table3[[#This Row],[3+ Und]]-Table3[[#This Row],[Costo Real ]]</f>
        <v>-349.41615999999999</v>
      </c>
      <c r="H9">
        <f>0.85*Table3[[#This Row],[Precio de venta (C$)]]</f>
        <v>148.97236000000001</v>
      </c>
      <c r="I9" s="11">
        <f>Table3[[#This Row],[6+ Und]]-Table3[[#This Row],[Costo Real ]]</f>
        <v>-358.17923999999994</v>
      </c>
      <c r="J9">
        <f>0.8*Table3[[#This Row],[Precio de venta (C$)]]</f>
        <v>140.20928000000001</v>
      </c>
      <c r="K9" s="11">
        <f>Table3[[#This Row],[12+ Und]]-Table3[[#This Row],[Costo Real ]]</f>
        <v>-366.94232</v>
      </c>
    </row>
    <row r="10" spans="1:11" x14ac:dyDescent="0.25">
      <c r="A10" t="s">
        <v>85</v>
      </c>
      <c r="B10" t="str">
        <f>IF(_xlfn.SINGLE(Compras[Estado])="Recibido",_xlfn.XLOOKUP(Table3[[#This Row],[Codigo ]],_xlfn.SINGLE(Compras[Codigo]),_xlfn.SINGLE(Compras[Lote]),"-"),"-")</f>
        <v>LT1</v>
      </c>
      <c r="C10" t="str">
        <f>IF(_xlfn.SINGLE(Compras[Estado])="Recibido",_xlfn.XLOOKUP(Table3[[#This Row],[Codigo ]],_xlfn.SINGLE(Compras[Codigo]),_xlfn.SINGLE(Compras[Producto]),"-"),"-")</f>
        <v>KZ Castor | Mic | Bass</v>
      </c>
      <c r="D10" s="11">
        <f>IF(Table3[[#This Row],[Producto]]="","-",_xlfn.XLOOKUP(Table3[[#This Row],[Codigo ]],_xlfn.SINGLE(Stock[[Codigo ]]),_xlfn.SINGLE(Stock[Costo real (C$)]),"-"))</f>
        <v>354.34159999999997</v>
      </c>
      <c r="E10" s="11">
        <f>IF(Table3[[#This Row],[Producto]]="","-",_xlfn.XLOOKUP(Table3[[#This Row],[Codigo ]],_xlfn.SINGLE(Stock[[Codigo ]]),_xlfn.SINGLE(Stock[Precio de venta (C$)]),"-"))</f>
        <v>716.17570000000001</v>
      </c>
      <c r="F10" s="11">
        <f>0.9*Table3[[#This Row],[Precio de venta (C$)]]</f>
        <v>644.55813000000001</v>
      </c>
      <c r="G10" s="11">
        <f>Table3[[#This Row],[3+ Und]]-Table3[[#This Row],[Costo Real ]]</f>
        <v>290.21653000000003</v>
      </c>
      <c r="H10">
        <f>0.85*Table3[[#This Row],[Precio de venta (C$)]]</f>
        <v>608.74934499999995</v>
      </c>
      <c r="I10" s="11">
        <f>Table3[[#This Row],[6+ Und]]-Table3[[#This Row],[Costo Real ]]</f>
        <v>254.40774499999998</v>
      </c>
      <c r="J10">
        <f>0.8*Table3[[#This Row],[Precio de venta (C$)]]</f>
        <v>572.94056</v>
      </c>
      <c r="K10" s="11">
        <f>Table3[[#This Row],[12+ Und]]-Table3[[#This Row],[Costo Real ]]</f>
        <v>218.59896000000003</v>
      </c>
    </row>
    <row r="11" spans="1:11" x14ac:dyDescent="0.25">
      <c r="A11" t="s">
        <v>88</v>
      </c>
      <c r="B11" t="str">
        <f>IF(_xlfn.SINGLE(Compras[Estado])="Recibido",_xlfn.XLOOKUP(Table3[[#This Row],[Codigo ]],_xlfn.SINGLE(Compras[Codigo]),_xlfn.SINGLE(Compras[Lote]),"-"),"-")</f>
        <v>LT1</v>
      </c>
      <c r="C11" t="str">
        <f>IF(_xlfn.SINGLE(Compras[Estado])="Recibido",_xlfn.XLOOKUP(Table3[[#This Row],[Codigo ]],_xlfn.SINGLE(Compras[Codigo]),_xlfn.SINGLE(Compras[Producto]),"-"),"-")</f>
        <v>EDX Pro X | Mic | Transparente</v>
      </c>
      <c r="D11" s="11">
        <f>IF(Table3[[#This Row],[Producto]]="","-",_xlfn.XLOOKUP(Table3[[#This Row],[Codigo ]],_xlfn.SINGLE(Stock[[Codigo ]]),_xlfn.SINGLE(Stock[Costo real (C$)]),"-"))</f>
        <v>175.26160000000002</v>
      </c>
      <c r="E11" s="11">
        <f>IF(Table3[[#This Row],[Producto]]="","-",_xlfn.XLOOKUP(Table3[[#This Row],[Codigo ]],_xlfn.SINGLE(Stock[[Codigo ]]),_xlfn.SINGLE(Stock[Precio de venta (C$)]),"-"))</f>
        <v>510.82569999999998</v>
      </c>
      <c r="F11" s="11">
        <f>0.9*Table3[[#This Row],[Precio de venta (C$)]]</f>
        <v>459.74313000000001</v>
      </c>
      <c r="G11" s="11">
        <f>Table3[[#This Row],[3+ Und]]-Table3[[#This Row],[Costo Real ]]</f>
        <v>284.48153000000002</v>
      </c>
      <c r="H11">
        <f>0.85*Table3[[#This Row],[Precio de venta (C$)]]</f>
        <v>434.20184499999999</v>
      </c>
      <c r="I11" s="11">
        <f>Table3[[#This Row],[6+ Und]]-Table3[[#This Row],[Costo Real ]]</f>
        <v>258.940245</v>
      </c>
      <c r="J11">
        <f>0.8*Table3[[#This Row],[Precio de venta (C$)]]</f>
        <v>408.66056000000003</v>
      </c>
      <c r="K11" s="11">
        <f>Table3[[#This Row],[12+ Und]]-Table3[[#This Row],[Costo Real ]]</f>
        <v>233.39896000000002</v>
      </c>
    </row>
    <row r="12" spans="1:11" x14ac:dyDescent="0.25">
      <c r="A12" t="s">
        <v>89</v>
      </c>
      <c r="B12" t="str">
        <f>IF(_xlfn.SINGLE(Compras[Estado])="Recibido",_xlfn.XLOOKUP(Table3[[#This Row],[Codigo ]],_xlfn.SINGLE(Compras[Codigo]),_xlfn.SINGLE(Compras[Lote]),"-"),"-")</f>
        <v>LT1</v>
      </c>
      <c r="C12" t="str">
        <f>IF(_xlfn.SINGLE(Compras[Estado])="Recibido",_xlfn.XLOOKUP(Table3[[#This Row],[Codigo ]],_xlfn.SINGLE(Compras[Codigo]),_xlfn.SINGLE(Compras[Producto]),"-"),"-")</f>
        <v xml:space="preserve">KZ Castor Pro Bass | Mic </v>
      </c>
      <c r="D12" s="11">
        <f>IF(Table3[[#This Row],[Producto]]="","-",_xlfn.XLOOKUP(Table3[[#This Row],[Codigo ]],_xlfn.SINGLE(Stock[[Codigo ]]),_xlfn.SINGLE(Stock[Costo real (C$)]),"-"))</f>
        <v>419.09159999999997</v>
      </c>
      <c r="E12" s="11">
        <f>IF(Table3[[#This Row],[Producto]]="","-",_xlfn.XLOOKUP(Table3[[#This Row],[Codigo ]],_xlfn.SINGLE(Stock[[Codigo ]]),_xlfn.SINGLE(Stock[Precio de venta (C$)]),"-"))</f>
        <v>880.82569999999998</v>
      </c>
      <c r="F12" s="11">
        <f>0.9*Table3[[#This Row],[Precio de venta (C$)]]</f>
        <v>792.74312999999995</v>
      </c>
      <c r="G12" s="11">
        <f>Table3[[#This Row],[3+ Und]]-Table3[[#This Row],[Costo Real ]]</f>
        <v>373.65152999999998</v>
      </c>
      <c r="H12">
        <f>0.85*Table3[[#This Row],[Precio de venta (C$)]]</f>
        <v>748.70184499999993</v>
      </c>
      <c r="I12" s="11">
        <f>Table3[[#This Row],[6+ Und]]-Table3[[#This Row],[Costo Real ]]</f>
        <v>329.61024499999996</v>
      </c>
      <c r="J12">
        <f>0.8*Table3[[#This Row],[Precio de venta (C$)]]</f>
        <v>704.66056000000003</v>
      </c>
      <c r="K12" s="11">
        <f>Table3[[#This Row],[12+ Und]]-Table3[[#This Row],[Costo Real ]]</f>
        <v>285.56896000000006</v>
      </c>
    </row>
    <row r="13" spans="1:11" x14ac:dyDescent="0.25">
      <c r="A13" t="s">
        <v>90</v>
      </c>
      <c r="B13" t="str">
        <f>IF(_xlfn.SINGLE(Compras[Estado])="Recibido",_xlfn.XLOOKUP(Table3[[#This Row],[Codigo ]],_xlfn.SINGLE(Compras[Codigo]),_xlfn.SINGLE(Compras[Lote]),"-"),"-")</f>
        <v>LT1</v>
      </c>
      <c r="C13" t="str">
        <f>IF(_xlfn.SINGLE(Compras[Estado])="Recibido",_xlfn.XLOOKUP(Table3[[#This Row],[Codigo ]],_xlfn.SINGLE(Compras[Codigo]),_xlfn.SINGLE(Compras[Producto]),"-"),"-")</f>
        <v>KZ Castor Pro Harman| Mic</v>
      </c>
      <c r="D13" s="11">
        <f>IF(Table3[[#This Row],[Producto]]="","-",_xlfn.XLOOKUP(Table3[[#This Row],[Codigo ]],_xlfn.SINGLE(Stock[[Codigo ]]),_xlfn.SINGLE(Stock[Costo real (C$)]),"-"))</f>
        <v>360.26159999999993</v>
      </c>
      <c r="E13" s="11">
        <f>IF(Table3[[#This Row],[Producto]]="","-",_xlfn.XLOOKUP(Table3[[#This Row],[Codigo ]],_xlfn.SINGLE(Stock[[Codigo ]]),_xlfn.SINGLE(Stock[Precio de venta (C$)]),"-"))</f>
        <v>880.82569999999998</v>
      </c>
      <c r="F13" s="11">
        <f>0.9*Table3[[#This Row],[Precio de venta (C$)]]</f>
        <v>792.74312999999995</v>
      </c>
      <c r="G13" s="11">
        <f>Table3[[#This Row],[3+ Und]]-Table3[[#This Row],[Costo Real ]]</f>
        <v>432.48153000000002</v>
      </c>
      <c r="H13">
        <f>0.85*Table3[[#This Row],[Precio de venta (C$)]]</f>
        <v>748.70184499999993</v>
      </c>
      <c r="I13" s="11">
        <f>Table3[[#This Row],[6+ Und]]-Table3[[#This Row],[Costo Real ]]</f>
        <v>388.440245</v>
      </c>
      <c r="J13">
        <f>0.8*Table3[[#This Row],[Precio de venta (C$)]]</f>
        <v>704.66056000000003</v>
      </c>
      <c r="K13" s="11">
        <f>Table3[[#This Row],[12+ Und]]-Table3[[#This Row],[Costo Real ]]</f>
        <v>344.3989600000001</v>
      </c>
    </row>
    <row r="14" spans="1:11" x14ac:dyDescent="0.25">
      <c r="A14" t="s">
        <v>91</v>
      </c>
      <c r="B14" t="str">
        <f>IF(_xlfn.SINGLE(Compras[Estado])="Recibido",_xlfn.XLOOKUP(Table3[[#This Row],[Codigo ]],_xlfn.SINGLE(Compras[Codigo]),_xlfn.SINGLE(Compras[Lote]),"-"),"-")</f>
        <v>LT1</v>
      </c>
      <c r="C14" t="str">
        <f>IF(_xlfn.SINGLE(Compras[Estado])="Recibido",_xlfn.XLOOKUP(Table3[[#This Row],[Codigo ]],_xlfn.SINGLE(Compras[Codigo]),_xlfn.SINGLE(Compras[Producto]),"-"),"-")</f>
        <v>EDX Pro | Mic | Transparente</v>
      </c>
      <c r="D14" s="11">
        <f>IF(Table3[[#This Row],[Producto]]="","-",_xlfn.XLOOKUP(Table3[[#This Row],[Codigo ]],_xlfn.SINGLE(Stock[[Codigo ]]),_xlfn.SINGLE(Stock[Costo real (C$)]),"-"))</f>
        <v>178.2216</v>
      </c>
      <c r="E14" s="11">
        <f>IF(Table3[[#This Row],[Producto]]="","-",_xlfn.XLOOKUP(Table3[[#This Row],[Codigo ]],_xlfn.SINGLE(Stock[[Codigo ]]),_xlfn.SINGLE(Stock[Precio de venta (C$)]),"-"))</f>
        <v>540.0557</v>
      </c>
      <c r="F14" s="11">
        <f>0.9*Table3[[#This Row],[Precio de venta (C$)]]</f>
        <v>486.05013000000002</v>
      </c>
      <c r="G14" s="11">
        <f>Table3[[#This Row],[3+ Und]]-Table3[[#This Row],[Costo Real ]]</f>
        <v>307.82853</v>
      </c>
      <c r="H14">
        <f>0.85*Table3[[#This Row],[Precio de venta (C$)]]</f>
        <v>459.04734500000001</v>
      </c>
      <c r="I14" s="11">
        <f>Table3[[#This Row],[6+ Und]]-Table3[[#This Row],[Costo Real ]]</f>
        <v>280.82574499999998</v>
      </c>
      <c r="J14">
        <f>0.8*Table3[[#This Row],[Precio de venta (C$)]]</f>
        <v>432.04456000000005</v>
      </c>
      <c r="K14" s="11">
        <f>Table3[[#This Row],[12+ Und]]-Table3[[#This Row],[Costo Real ]]</f>
        <v>253.82296000000005</v>
      </c>
    </row>
    <row r="15" spans="1:11" x14ac:dyDescent="0.25">
      <c r="A15" t="s">
        <v>92</v>
      </c>
      <c r="B15" t="str">
        <f>IF(_xlfn.SINGLE(Compras[Estado])="Recibido",_xlfn.XLOOKUP(Table3[[#This Row],[Codigo ]],_xlfn.SINGLE(Compras[Codigo]),_xlfn.SINGLE(Compras[Lote]),"-"),"-")</f>
        <v>LT1</v>
      </c>
      <c r="C15" t="str">
        <f>IF(_xlfn.SINGLE(Compras[Estado])="Recibido",_xlfn.XLOOKUP(Table3[[#This Row],[Codigo ]],_xlfn.SINGLE(Compras[Codigo]),_xlfn.SINGLE(Compras[Producto]),"-"),"-")</f>
        <v xml:space="preserve">EDX Pro X | Mic | Negro </v>
      </c>
      <c r="D15" s="11">
        <f>IF(Table3[[#This Row],[Producto]]="","-",_xlfn.XLOOKUP(Table3[[#This Row],[Codigo ]],_xlfn.SINGLE(Stock[[Codigo ]]),_xlfn.SINGLE(Stock[Costo real (C$)]),"-"))</f>
        <v>175.26160000000002</v>
      </c>
      <c r="E15" s="11">
        <f>IF(Table3[[#This Row],[Producto]]="","-",_xlfn.XLOOKUP(Table3[[#This Row],[Codigo ]],_xlfn.SINGLE(Stock[[Codigo ]]),_xlfn.SINGLE(Stock[Precio de venta (C$)]),"-"))</f>
        <v>540.0557</v>
      </c>
      <c r="F15" s="11">
        <f>0.9*Table3[[#This Row],[Precio de venta (C$)]]</f>
        <v>486.05013000000002</v>
      </c>
      <c r="G15" s="11">
        <f>Table3[[#This Row],[3+ Und]]-Table3[[#This Row],[Costo Real ]]</f>
        <v>310.78853000000004</v>
      </c>
      <c r="H15">
        <f>0.85*Table3[[#This Row],[Precio de venta (C$)]]</f>
        <v>459.04734500000001</v>
      </c>
      <c r="I15" s="11">
        <f>Table3[[#This Row],[6+ Und]]-Table3[[#This Row],[Costo Real ]]</f>
        <v>283.78574500000002</v>
      </c>
      <c r="J15">
        <f>0.8*Table3[[#This Row],[Precio de venta (C$)]]</f>
        <v>432.04456000000005</v>
      </c>
      <c r="K15" s="11">
        <f>Table3[[#This Row],[12+ Und]]-Table3[[#This Row],[Costo Real ]]</f>
        <v>256.78296</v>
      </c>
    </row>
    <row r="16" spans="1:11" x14ac:dyDescent="0.25">
      <c r="A16" t="s">
        <v>93</v>
      </c>
      <c r="B16" t="str">
        <f>IF(_xlfn.SINGLE(Compras[Estado])="Recibido",_xlfn.XLOOKUP(Table3[[#This Row],[Codigo ]],_xlfn.SINGLE(Compras[Codigo]),_xlfn.SINGLE(Compras[Lote]),"-"),"-")</f>
        <v>LT1</v>
      </c>
      <c r="C16" t="str">
        <f>IF(_xlfn.SINGLE(Compras[Estado])="Recibido",_xlfn.XLOOKUP(Table3[[#This Row],[Codigo ]],_xlfn.SINGLE(Compras[Codigo]),_xlfn.SINGLE(Compras[Producto]),"-"),"-")</f>
        <v>EDX Pro X | Mic | Transparente</v>
      </c>
      <c r="D16" s="11">
        <f>IF(Table3[[#This Row],[Producto]]="","-",_xlfn.XLOOKUP(Table3[[#This Row],[Codigo ]],_xlfn.SINGLE(Stock[[Codigo ]]),_xlfn.SINGLE(Stock[Costo real (C$)]),"-"))</f>
        <v>175.26160000000002</v>
      </c>
      <c r="E16" s="11">
        <f>IF(Table3[[#This Row],[Producto]]="","-",_xlfn.XLOOKUP(Table3[[#This Row],[Codigo ]],_xlfn.SINGLE(Stock[[Codigo ]]),_xlfn.SINGLE(Stock[Precio de venta (C$)]),"-"))</f>
        <v>158.21570000000003</v>
      </c>
      <c r="F16" s="11">
        <f>0.9*Table3[[#This Row],[Precio de venta (C$)]]</f>
        <v>142.39413000000002</v>
      </c>
      <c r="G16" s="11">
        <f>Table3[[#This Row],[3+ Und]]-Table3[[#This Row],[Costo Real ]]</f>
        <v>-32.867469999999997</v>
      </c>
      <c r="H16">
        <f>0.85*Table3[[#This Row],[Precio de venta (C$)]]</f>
        <v>134.48334500000001</v>
      </c>
      <c r="I16" s="11">
        <f>Table3[[#This Row],[6+ Und]]-Table3[[#This Row],[Costo Real ]]</f>
        <v>-40.778255000000001</v>
      </c>
      <c r="J16">
        <f>0.8*Table3[[#This Row],[Precio de venta (C$)]]</f>
        <v>126.57256000000002</v>
      </c>
      <c r="K16" s="11">
        <f>Table3[[#This Row],[12+ Und]]-Table3[[#This Row],[Costo Real ]]</f>
        <v>-48.689039999999991</v>
      </c>
    </row>
    <row r="17" spans="1:11" x14ac:dyDescent="0.25">
      <c r="A17" t="s">
        <v>94</v>
      </c>
      <c r="B17" t="str">
        <f>IF(_xlfn.SINGLE(Compras[Estado])="Recibido",_xlfn.XLOOKUP(Table3[[#This Row],[Codigo ]],_xlfn.SINGLE(Compras[Codigo]),_xlfn.SINGLE(Compras[Lote]),"-"),"-")</f>
        <v>LT1</v>
      </c>
      <c r="C17" t="str">
        <f>IF(_xlfn.SINGLE(Compras[Estado])="Recibido",_xlfn.XLOOKUP(Table3[[#This Row],[Codigo ]],_xlfn.SINGLE(Compras[Codigo]),_xlfn.SINGLE(Compras[Producto]),"-"),"-")</f>
        <v>EDX Pro X | Mic | Gris</v>
      </c>
      <c r="D17" s="11">
        <f>IF(Table3[[#This Row],[Producto]]="","-",_xlfn.XLOOKUP(Table3[[#This Row],[Codigo ]],_xlfn.SINGLE(Stock[[Codigo ]]),_xlfn.SINGLE(Stock[Costo real (C$)]),"-"))</f>
        <v>175.26160000000002</v>
      </c>
      <c r="E17" s="11">
        <f>IF(Table3[[#This Row],[Producto]]="","-",_xlfn.XLOOKUP(Table3[[#This Row],[Codigo ]],_xlfn.SINGLE(Stock[[Codigo ]]),_xlfn.SINGLE(Stock[Precio de venta (C$)]),"-"))</f>
        <v>32.471200000000003</v>
      </c>
      <c r="F17" s="11">
        <f>0.9*Table3[[#This Row],[Precio de venta (C$)]]</f>
        <v>29.224080000000004</v>
      </c>
      <c r="G17" s="11">
        <f>Table3[[#This Row],[3+ Und]]-Table3[[#This Row],[Costo Real ]]</f>
        <v>-146.03752</v>
      </c>
      <c r="H17">
        <f>0.85*Table3[[#This Row],[Precio de venta (C$)]]</f>
        <v>27.600520000000003</v>
      </c>
      <c r="I17" s="11">
        <f>Table3[[#This Row],[6+ Und]]-Table3[[#This Row],[Costo Real ]]</f>
        <v>-147.66108000000003</v>
      </c>
      <c r="J17">
        <f>0.8*Table3[[#This Row],[Precio de venta (C$)]]</f>
        <v>25.976960000000005</v>
      </c>
      <c r="K17" s="11">
        <f>Table3[[#This Row],[12+ Und]]-Table3[[#This Row],[Costo Real ]]</f>
        <v>-149.28464000000002</v>
      </c>
    </row>
    <row r="18" spans="1:11" x14ac:dyDescent="0.25">
      <c r="A18" t="s">
        <v>96</v>
      </c>
      <c r="B18" t="str">
        <f>IF(_xlfn.SINGLE(Compras[Estado])="Recibido",_xlfn.XLOOKUP(Table3[[#This Row],[Codigo ]],_xlfn.SINGLE(Compras[Codigo]),_xlfn.SINGLE(Compras[Lote]),"-"),"-")</f>
        <v>LT2</v>
      </c>
      <c r="C18" t="str">
        <f>IF(_xlfn.SINGLE(Compras[Estado])="Recibido",_xlfn.XLOOKUP(Table3[[#This Row],[Codigo ]],_xlfn.SINGLE(Compras[Codigo]),_xlfn.SINGLE(Compras[Producto]),"-"),"-")</f>
        <v>KZ AZ10</v>
      </c>
      <c r="D18" s="11">
        <f>IF(Table3[[#This Row],[Producto]]="","-",_xlfn.XLOOKUP(Table3[[#This Row],[Codigo ]],_xlfn.SINGLE(Stock[[Codigo ]]),_xlfn.SINGLE(Stock[Costo real (C$)]),"-"))</f>
        <v>716.17570000000001</v>
      </c>
      <c r="E18" s="11">
        <f>IF(Table3[[#This Row],[Producto]]="","-",_xlfn.XLOOKUP(Table3[[#This Row],[Codigo ]],_xlfn.SINGLE(Stock[[Codigo ]]),_xlfn.SINGLE(Stock[Precio de venta (C$)]),"-"))</f>
        <v>32.471200000000003</v>
      </c>
      <c r="F18" s="11">
        <f>0.9*Table3[[#This Row],[Precio de venta (C$)]]</f>
        <v>29.224080000000004</v>
      </c>
      <c r="G18" s="11">
        <f>Table3[[#This Row],[3+ Und]]-Table3[[#This Row],[Costo Real ]]</f>
        <v>-686.95162000000005</v>
      </c>
      <c r="H18">
        <f>0.85*Table3[[#This Row],[Precio de venta (C$)]]</f>
        <v>27.600520000000003</v>
      </c>
      <c r="I18" s="11">
        <f>Table3[[#This Row],[6+ Und]]-Table3[[#This Row],[Costo Real ]]</f>
        <v>-688.57518000000005</v>
      </c>
      <c r="J18">
        <f>0.8*Table3[[#This Row],[Precio de venta (C$)]]</f>
        <v>25.976960000000005</v>
      </c>
      <c r="K18" s="11">
        <f>Table3[[#This Row],[12+ Und]]-Table3[[#This Row],[Costo Real ]]</f>
        <v>-690.19874000000004</v>
      </c>
    </row>
    <row r="19" spans="1:11" x14ac:dyDescent="0.25">
      <c r="A19" t="s">
        <v>97</v>
      </c>
      <c r="B19" t="str">
        <f>IF(_xlfn.SINGLE(Compras[Estado])="Recibido",_xlfn.XLOOKUP(Table3[[#This Row],[Codigo ]],_xlfn.SINGLE(Compras[Codigo]),_xlfn.SINGLE(Compras[Lote]),"-"),"-")</f>
        <v>LT2</v>
      </c>
      <c r="C19" t="str">
        <f>IF(_xlfn.SINGLE(Compras[Estado])="Recibido",_xlfn.XLOOKUP(Table3[[#This Row],[Codigo ]],_xlfn.SINGLE(Compras[Codigo]),_xlfn.SINGLE(Compras[Producto]),"-"),"-")</f>
        <v>KZ AZ09 Pin C</v>
      </c>
      <c r="D19" s="11">
        <f>IF(Table3[[#This Row],[Producto]]="","-",_xlfn.XLOOKUP(Table3[[#This Row],[Codigo ]],_xlfn.SINGLE(Stock[[Codigo ]]),_xlfn.SINGLE(Stock[Costo real (C$)]),"-"))</f>
        <v>510.82569999999998</v>
      </c>
      <c r="E19" s="11">
        <f>IF(Table3[[#This Row],[Producto]]="","-",_xlfn.XLOOKUP(Table3[[#This Row],[Codigo ]],_xlfn.SINGLE(Stock[[Codigo ]]),_xlfn.SINGLE(Stock[Precio de venta (C$)]),"-"))</f>
        <v>481.6511999999999</v>
      </c>
      <c r="F19" s="11">
        <f>0.9*Table3[[#This Row],[Precio de venta (C$)]]</f>
        <v>433.4860799999999</v>
      </c>
      <c r="G19" s="11">
        <f>Table3[[#This Row],[3+ Und]]-Table3[[#This Row],[Costo Real ]]</f>
        <v>-77.339620000000082</v>
      </c>
      <c r="H19">
        <f>0.85*Table3[[#This Row],[Precio de venta (C$)]]</f>
        <v>409.4035199999999</v>
      </c>
      <c r="I19" s="11">
        <f>Table3[[#This Row],[6+ Und]]-Table3[[#This Row],[Costo Real ]]</f>
        <v>-101.42218000000008</v>
      </c>
      <c r="J19">
        <f>0.8*Table3[[#This Row],[Precio de venta (C$)]]</f>
        <v>385.32095999999996</v>
      </c>
      <c r="K19" s="11">
        <f>Table3[[#This Row],[12+ Und]]-Table3[[#This Row],[Costo Real ]]</f>
        <v>-125.50474000000003</v>
      </c>
    </row>
    <row r="20" spans="1:11" x14ac:dyDescent="0.25">
      <c r="A20" t="s">
        <v>98</v>
      </c>
      <c r="B20" t="str">
        <f>IF(_xlfn.SINGLE(Compras[Estado])="Recibido",_xlfn.XLOOKUP(Table3[[#This Row],[Codigo ]],_xlfn.SINGLE(Compras[Codigo]),_xlfn.SINGLE(Compras[Lote]),"-"),"-")</f>
        <v>LT2</v>
      </c>
      <c r="C20" t="str">
        <f>IF(_xlfn.SINGLE(Compras[Estado])="Recibido",_xlfn.XLOOKUP(Table3[[#This Row],[Codigo ]],_xlfn.SINGLE(Compras[Codigo]),_xlfn.SINGLE(Compras[Producto]),"-"),"-")</f>
        <v xml:space="preserve">KZ AZ09 Pro </v>
      </c>
      <c r="D20" s="11">
        <f>IF(Table3[[#This Row],[Producto]]="","-",_xlfn.XLOOKUP(Table3[[#This Row],[Codigo ]],_xlfn.SINGLE(Stock[[Codigo ]]),_xlfn.SINGLE(Stock[Costo real (C$)]),"-"))</f>
        <v>880.82569999999998</v>
      </c>
      <c r="E20" s="11">
        <f>IF(Table3[[#This Row],[Producto]]="","-",_xlfn.XLOOKUP(Table3[[#This Row],[Codigo ]],_xlfn.SINGLE(Stock[[Codigo ]]),_xlfn.SINGLE(Stock[Precio de venta (C$)]),"-"))</f>
        <v>481.6511999999999</v>
      </c>
      <c r="F20" s="11">
        <f>0.9*Table3[[#This Row],[Precio de venta (C$)]]</f>
        <v>433.4860799999999</v>
      </c>
      <c r="G20" s="11">
        <f>Table3[[#This Row],[3+ Und]]-Table3[[#This Row],[Costo Real ]]</f>
        <v>-447.33962000000008</v>
      </c>
      <c r="H20">
        <f>0.85*Table3[[#This Row],[Precio de venta (C$)]]</f>
        <v>409.4035199999999</v>
      </c>
      <c r="I20" s="11">
        <f>Table3[[#This Row],[6+ Und]]-Table3[[#This Row],[Costo Real ]]</f>
        <v>-471.42218000000008</v>
      </c>
      <c r="J20">
        <f>0.8*Table3[[#This Row],[Precio de venta (C$)]]</f>
        <v>385.32095999999996</v>
      </c>
      <c r="K20" s="11">
        <f>Table3[[#This Row],[12+ Und]]-Table3[[#This Row],[Costo Real ]]</f>
        <v>-495.50474000000003</v>
      </c>
    </row>
    <row r="21" spans="1:11" x14ac:dyDescent="0.25">
      <c r="A21" t="s">
        <v>99</v>
      </c>
      <c r="B21" t="str">
        <f>IF(_xlfn.SINGLE(Compras[Estado])="Recibido",_xlfn.XLOOKUP(Table3[[#This Row],[Codigo ]],_xlfn.SINGLE(Compras[Codigo]),_xlfn.SINGLE(Compras[Lote]),"-"),"-")</f>
        <v>LT2</v>
      </c>
      <c r="C21" t="str">
        <f>IF(_xlfn.SINGLE(Compras[Estado])="Recibido",_xlfn.XLOOKUP(Table3[[#This Row],[Codigo ]],_xlfn.SINGLE(Compras[Codigo]),_xlfn.SINGLE(Compras[Producto]),"-"),"-")</f>
        <v xml:space="preserve">KZ AZ09 Pro </v>
      </c>
      <c r="D21" s="11">
        <f>IF(Table3[[#This Row],[Producto]]="","-",_xlfn.XLOOKUP(Table3[[#This Row],[Codigo ]],_xlfn.SINGLE(Stock[[Codigo ]]),_xlfn.SINGLE(Stock[Costo real (C$)]),"-"))</f>
        <v>880.82569999999998</v>
      </c>
      <c r="E21" s="11">
        <f>IF(Table3[[#This Row],[Producto]]="","-",_xlfn.XLOOKUP(Table3[[#This Row],[Codigo ]],_xlfn.SINGLE(Stock[[Codigo ]]),_xlfn.SINGLE(Stock[Precio de venta (C$)]),"-"))</f>
        <v>29.511200000000002</v>
      </c>
      <c r="F21" s="11">
        <f>0.9*Table3[[#This Row],[Precio de venta (C$)]]</f>
        <v>26.560080000000003</v>
      </c>
      <c r="G21" s="11">
        <f>Table3[[#This Row],[3+ Und]]-Table3[[#This Row],[Costo Real ]]</f>
        <v>-854.26562000000001</v>
      </c>
      <c r="H21">
        <f>0.85*Table3[[#This Row],[Precio de venta (C$)]]</f>
        <v>25.084520000000001</v>
      </c>
      <c r="I21" s="11">
        <f>Table3[[#This Row],[6+ Und]]-Table3[[#This Row],[Costo Real ]]</f>
        <v>-855.74117999999999</v>
      </c>
      <c r="J21">
        <f>0.8*Table3[[#This Row],[Precio de venta (C$)]]</f>
        <v>23.608960000000003</v>
      </c>
      <c r="K21" s="11">
        <f>Table3[[#This Row],[12+ Und]]-Table3[[#This Row],[Costo Real ]]</f>
        <v>-857.21673999999996</v>
      </c>
    </row>
    <row r="22" spans="1:11" x14ac:dyDescent="0.25">
      <c r="A22" t="s">
        <v>227</v>
      </c>
      <c r="B22" t="str">
        <f>IF(_xlfn.SINGLE(Compras[Estado])="Recibido",_xlfn.XLOOKUP(Table3[[#This Row],[Codigo ]],_xlfn.SINGLE(Compras[Codigo]),_xlfn.SINGLE(Compras[Lote]),"-"),"-")</f>
        <v>-</v>
      </c>
      <c r="C22" t="str">
        <f>IF(_xlfn.SINGLE(Compras[Estado])="Recibido",_xlfn.XLOOKUP(Table3[[#This Row],[Codigo ]],_xlfn.SINGLE(Compras[Codigo]),_xlfn.SINGLE(Compras[Producto]),"-"),"-")</f>
        <v>-</v>
      </c>
      <c r="D22" s="11" t="str">
        <f>IF(Table3[[#This Row],[Producto]]="","-",_xlfn.XLOOKUP(Table3[[#This Row],[Codigo ]],_xlfn.SINGLE(Stock[[Codigo ]]),_xlfn.SINGLE(Stock[Costo real (C$)]),"-"))</f>
        <v>-</v>
      </c>
      <c r="E22" s="11" t="str">
        <f>IF(Table3[[#This Row],[Producto]]="","-",_xlfn.XLOOKUP(Table3[[#This Row],[Codigo ]],_xlfn.SINGLE(Stock[[Codigo ]]),_xlfn.SINGLE(Stock[Precio de venta (C$)]),"-"))</f>
        <v>-</v>
      </c>
      <c r="F22" s="11" t="e">
        <f>0.9*Table3[[#This Row],[Precio de venta (C$)]]</f>
        <v>#VALUE!</v>
      </c>
      <c r="G22" s="11" t="e">
        <f>Table3[[#This Row],[3+ Und]]-Table3[[#This Row],[Costo Real ]]</f>
        <v>#VALUE!</v>
      </c>
      <c r="H22" t="e">
        <f>0.85*Table3[[#This Row],[Precio de venta (C$)]]</f>
        <v>#VALUE!</v>
      </c>
      <c r="I22" s="11" t="e">
        <f>Table3[[#This Row],[6+ Und]]-Table3[[#This Row],[Costo Real ]]</f>
        <v>#VALUE!</v>
      </c>
      <c r="J22" t="e">
        <f>0.8*Table3[[#This Row],[Precio de venta (C$)]]</f>
        <v>#VALUE!</v>
      </c>
      <c r="K22" s="11" t="e">
        <f>Table3[[#This Row],[12+ Und]]-Table3[[#This Row],[Costo Real ]]</f>
        <v>#VALUE!</v>
      </c>
    </row>
    <row r="23" spans="1:11" x14ac:dyDescent="0.25">
      <c r="A23" t="s">
        <v>101</v>
      </c>
      <c r="B23" t="str">
        <f>IF(_xlfn.SINGLE(Compras[Estado])="Recibido",_xlfn.XLOOKUP(Table3[[#This Row],[Codigo ]],_xlfn.SINGLE(Compras[Codigo]),_xlfn.SINGLE(Compras[Lote]),"-"),"-")</f>
        <v>LT2</v>
      </c>
      <c r="C23" t="str">
        <f>IF(_xlfn.SINGLE(Compras[Estado])="Recibido",_xlfn.XLOOKUP(Table3[[#This Row],[Codigo ]],_xlfn.SINGLE(Compras[Codigo]),_xlfn.SINGLE(Compras[Producto]),"-"),"-")</f>
        <v>Attack Shark X11 | White</v>
      </c>
      <c r="D23" s="11">
        <f>IF(Table3[[#This Row],[Producto]]="","-",_xlfn.XLOOKUP(Table3[[#This Row],[Codigo ]],_xlfn.SINGLE(Stock[[Codigo ]]),_xlfn.SINGLE(Stock[Costo real (C$)]),"-"))</f>
        <v>540.0557</v>
      </c>
      <c r="E23" s="11">
        <f>IF(Table3[[#This Row],[Producto]]="","-",_xlfn.XLOOKUP(Table3[[#This Row],[Codigo ]],_xlfn.SINGLE(Stock[[Codigo ]]),_xlfn.SINGLE(Stock[Precio de venta (C$)]),"-"))</f>
        <v>334.76119999999997</v>
      </c>
      <c r="F23" s="11">
        <f>0.9*Table3[[#This Row],[Precio de venta (C$)]]</f>
        <v>301.28507999999999</v>
      </c>
      <c r="G23" s="11">
        <f>Table3[[#This Row],[3+ Und]]-Table3[[#This Row],[Costo Real ]]</f>
        <v>-238.77062000000001</v>
      </c>
      <c r="H23">
        <f>0.85*Table3[[#This Row],[Precio de venta (C$)]]</f>
        <v>284.54701999999997</v>
      </c>
      <c r="I23" s="11">
        <f>Table3[[#This Row],[6+ Und]]-Table3[[#This Row],[Costo Real ]]</f>
        <v>-255.50868000000003</v>
      </c>
      <c r="J23" s="11">
        <f>0.8*Table3[[#This Row],[Precio de venta (C$)]]</f>
        <v>267.80896000000001</v>
      </c>
      <c r="K23" s="11">
        <f>Table3[[#This Row],[12+ Und]]-Table3[[#This Row],[Costo Real ]]</f>
        <v>-272.24673999999999</v>
      </c>
    </row>
    <row r="24" spans="1:11" x14ac:dyDescent="0.25">
      <c r="A24" t="s">
        <v>102</v>
      </c>
      <c r="B24" t="str">
        <f>IF(_xlfn.SINGLE(Compras[Estado])="Recibido",_xlfn.XLOOKUP(Table3[[#This Row],[Codigo ]],_xlfn.SINGLE(Compras[Codigo]),_xlfn.SINGLE(Compras[Lote]),"-"),"-")</f>
        <v>LT2</v>
      </c>
      <c r="C24" t="str">
        <f>IF(_xlfn.SINGLE(Compras[Estado])="Recibido",_xlfn.XLOOKUP(Table3[[#This Row],[Codigo ]],_xlfn.SINGLE(Compras[Codigo]),_xlfn.SINGLE(Compras[Producto]),"-"),"-")</f>
        <v xml:space="preserve">Cable de repuesto KZ | Tipo C </v>
      </c>
      <c r="D24" s="11">
        <f>IF(Table3[[#This Row],[Producto]]="","-",_xlfn.XLOOKUP(Table3[[#This Row],[Codigo ]],_xlfn.SINGLE(Stock[[Codigo ]]),_xlfn.SINGLE(Stock[Costo real (C$)]),"-"))</f>
        <v>158.21570000000003</v>
      </c>
      <c r="E24" s="11">
        <f>IF(Table3[[#This Row],[Producto]]="","-",_xlfn.XLOOKUP(Table3[[#This Row],[Codigo ]],_xlfn.SINGLE(Stock[[Codigo ]]),_xlfn.SINGLE(Stock[Precio de venta (C$)]),"-"))</f>
        <v>329.21120000000002</v>
      </c>
      <c r="F24" s="11">
        <f>0.9*Table3[[#This Row],[Precio de venta (C$)]]</f>
        <v>296.29008000000005</v>
      </c>
      <c r="G24" s="11">
        <f>Table3[[#This Row],[3+ Und]]-Table3[[#This Row],[Costo Real ]]</f>
        <v>138.07438000000002</v>
      </c>
      <c r="H24">
        <f>0.85*Table3[[#This Row],[Precio de venta (C$)]]</f>
        <v>279.82952</v>
      </c>
      <c r="I24" s="11">
        <f>Table3[[#This Row],[6+ Und]]-Table3[[#This Row],[Costo Real ]]</f>
        <v>121.61381999999998</v>
      </c>
      <c r="J24" s="11">
        <f>0.8*Table3[[#This Row],[Precio de venta (C$)]]</f>
        <v>263.36896000000002</v>
      </c>
      <c r="K24" s="11">
        <f>Table3[[#This Row],[12+ Und]]-Table3[[#This Row],[Costo Real ]]</f>
        <v>105.15325999999999</v>
      </c>
    </row>
    <row r="25" spans="1:11" x14ac:dyDescent="0.25">
      <c r="A25" t="s">
        <v>103</v>
      </c>
      <c r="B25" t="str">
        <f>IF(_xlfn.SINGLE(Compras[Estado])="Recibido",_xlfn.XLOOKUP(Table3[[#This Row],[Codigo ]],_xlfn.SINGLE(Compras[Codigo]),_xlfn.SINGLE(Compras[Lote]),"-"),"-")</f>
        <v>LT3</v>
      </c>
      <c r="C25" t="str">
        <f>IF(_xlfn.SINGLE(Compras[Estado])="Recibido",_xlfn.XLOOKUP(Table3[[#This Row],[Codigo ]],_xlfn.SINGLE(Compras[Codigo]),_xlfn.SINGLE(Compras[Producto]),"-"),"-")</f>
        <v xml:space="preserve">KZ case Oval </v>
      </c>
      <c r="D25" s="11">
        <f>IF(Table3[[#This Row],[Producto]]="","-",_xlfn.XLOOKUP(Table3[[#This Row],[Codigo ]],_xlfn.SINGLE(Stock[[Codigo ]]),_xlfn.SINGLE(Stock[Costo real (C$)]),"-"))</f>
        <v>32.471200000000003</v>
      </c>
      <c r="E25" s="11">
        <f>IF(Table3[[#This Row],[Producto]]="","-",_xlfn.XLOOKUP(Table3[[#This Row],[Codigo ]],_xlfn.SINGLE(Stock[[Codigo ]]),_xlfn.SINGLE(Stock[Precio de venta (C$)]),"-"))</f>
        <v>340.68119999999999</v>
      </c>
      <c r="F25" s="11">
        <f>0.9*Table3[[#This Row],[Precio de venta (C$)]]</f>
        <v>306.61308000000002</v>
      </c>
      <c r="G25" s="11">
        <f>Table3[[#This Row],[3+ Und]]-Table3[[#This Row],[Costo Real ]]</f>
        <v>274.14188000000001</v>
      </c>
      <c r="H25">
        <f>0.85*Table3[[#This Row],[Precio de venta (C$)]]</f>
        <v>289.57901999999996</v>
      </c>
      <c r="I25" s="11">
        <f>Table3[[#This Row],[6+ Und]]-Table3[[#This Row],[Costo Real ]]</f>
        <v>257.10781999999995</v>
      </c>
      <c r="J25" s="11">
        <f>0.8*Table3[[#This Row],[Precio de venta (C$)]]</f>
        <v>272.54496</v>
      </c>
      <c r="K25" s="11">
        <f>Table3[[#This Row],[12+ Und]]-Table3[[#This Row],[Costo Real ]]</f>
        <v>240.07375999999999</v>
      </c>
    </row>
    <row r="26" spans="1:11" x14ac:dyDescent="0.25">
      <c r="A26" t="s">
        <v>109</v>
      </c>
      <c r="B26" t="str">
        <f>IF(_xlfn.SINGLE(Compras[Estado])="Recibido",_xlfn.XLOOKUP(Table3[[#This Row],[Codigo ]],_xlfn.SINGLE(Compras[Codigo]),_xlfn.SINGLE(Compras[Lote]),"-"),"-")</f>
        <v>LT3</v>
      </c>
      <c r="C26" t="str">
        <f>IF(_xlfn.SINGLE(Compras[Estado])="Recibido",_xlfn.XLOOKUP(Table3[[#This Row],[Codigo ]],_xlfn.SINGLE(Compras[Codigo]),_xlfn.SINGLE(Compras[Producto]),"-"),"-")</f>
        <v xml:space="preserve">KZ case Oval </v>
      </c>
      <c r="D26" s="11">
        <f>IF(Table3[[#This Row],[Producto]]="","-",_xlfn.XLOOKUP(Table3[[#This Row],[Codigo ]],_xlfn.SINGLE(Stock[[Codigo ]]),_xlfn.SINGLE(Stock[Costo real (C$)]),"-"))</f>
        <v>32.471200000000003</v>
      </c>
      <c r="E26" s="11">
        <f>IF(Table3[[#This Row],[Producto]]="","-",_xlfn.XLOOKUP(Table3[[#This Row],[Codigo ]],_xlfn.SINGLE(Stock[[Codigo ]]),_xlfn.SINGLE(Stock[Precio de venta (C$)]),"-"))</f>
        <v>534.93119999999999</v>
      </c>
      <c r="F26" s="11">
        <f>0.9*Table3[[#This Row],[Precio de venta (C$)]]</f>
        <v>481.43808000000001</v>
      </c>
      <c r="G26" s="11">
        <f>Table3[[#This Row],[3+ Und]]-Table3[[#This Row],[Costo Real ]]</f>
        <v>448.96688</v>
      </c>
      <c r="H26">
        <f>0.85*Table3[[#This Row],[Precio de venta (C$)]]</f>
        <v>454.69151999999997</v>
      </c>
      <c r="I26" s="11">
        <f>Table3[[#This Row],[6+ Und]]-Table3[[#This Row],[Costo Real ]]</f>
        <v>422.22031999999996</v>
      </c>
      <c r="J26" s="11">
        <f>0.8*Table3[[#This Row],[Precio de venta (C$)]]</f>
        <v>427.94496000000004</v>
      </c>
      <c r="K26" s="11">
        <f>Table3[[#This Row],[12+ Und]]-Table3[[#This Row],[Costo Real ]]</f>
        <v>395.47376000000003</v>
      </c>
    </row>
    <row r="27" spans="1:11" x14ac:dyDescent="0.25">
      <c r="A27" t="s">
        <v>110</v>
      </c>
      <c r="B27" t="str">
        <f>IF(_xlfn.SINGLE(Compras[Estado])="Recibido",_xlfn.XLOOKUP(Table3[[#This Row],[Codigo ]],_xlfn.SINGLE(Compras[Codigo]),_xlfn.SINGLE(Compras[Lote]),"-"),"-")</f>
        <v>LT3</v>
      </c>
      <c r="C27" t="str">
        <f>IF(_xlfn.SINGLE(Compras[Estado])="Recibido",_xlfn.XLOOKUP(Table3[[#This Row],[Codigo ]],_xlfn.SINGLE(Compras[Codigo]),_xlfn.SINGLE(Compras[Producto]),"-"),"-")</f>
        <v>Mouse Attack Shark R1 | Negro</v>
      </c>
      <c r="D27" s="11">
        <f>IF(Table3[[#This Row],[Producto]]="","-",_xlfn.XLOOKUP(Table3[[#This Row],[Codigo ]],_xlfn.SINGLE(Stock[[Codigo ]]),_xlfn.SINGLE(Stock[Costo real (C$)]),"-"))</f>
        <v>481.6511999999999</v>
      </c>
      <c r="E27" s="11">
        <f>IF(Table3[[#This Row],[Producto]]="","-",_xlfn.XLOOKUP(Table3[[#This Row],[Codigo ]],_xlfn.SINGLE(Stock[[Codigo ]]),_xlfn.SINGLE(Stock[Precio de venta (C$)]),"-"))</f>
        <v>522.72120000000007</v>
      </c>
      <c r="F27" s="11">
        <f>0.9*Table3[[#This Row],[Precio de venta (C$)]]</f>
        <v>470.44908000000009</v>
      </c>
      <c r="G27" s="11">
        <f>Table3[[#This Row],[3+ Und]]-Table3[[#This Row],[Costo Real ]]</f>
        <v>-11.202119999999809</v>
      </c>
      <c r="H27">
        <f>0.85*Table3[[#This Row],[Precio de venta (C$)]]</f>
        <v>444.31302000000005</v>
      </c>
      <c r="I27" s="11">
        <f>Table3[[#This Row],[6+ Und]]-Table3[[#This Row],[Costo Real ]]</f>
        <v>-37.338179999999852</v>
      </c>
      <c r="J27" s="11">
        <f>0.8*Table3[[#This Row],[Precio de venta (C$)]]</f>
        <v>418.17696000000007</v>
      </c>
      <c r="K27" s="11">
        <f>Table3[[#This Row],[12+ Und]]-Table3[[#This Row],[Costo Real ]]</f>
        <v>-63.474239999999838</v>
      </c>
    </row>
    <row r="28" spans="1:11" x14ac:dyDescent="0.25">
      <c r="A28" t="s">
        <v>111</v>
      </c>
      <c r="B28" t="str">
        <f>IF(_xlfn.SINGLE(Compras[Estado])="Recibido",_xlfn.XLOOKUP(Table3[[#This Row],[Codigo ]],_xlfn.SINGLE(Compras[Codigo]),_xlfn.SINGLE(Compras[Lote]),"-"),"-")</f>
        <v>LT3</v>
      </c>
      <c r="C28" t="str">
        <f>IF(_xlfn.SINGLE(Compras[Estado])="Recibido",_xlfn.XLOOKUP(Table3[[#This Row],[Codigo ]],_xlfn.SINGLE(Compras[Codigo]),_xlfn.SINGLE(Compras[Producto]),"-"),"-")</f>
        <v>Mouse Attack Shark R1 | Blanco</v>
      </c>
      <c r="D28" s="11">
        <f>IF(Table3[[#This Row],[Producto]]="","-",_xlfn.XLOOKUP(Table3[[#This Row],[Codigo ]],_xlfn.SINGLE(Stock[[Codigo ]]),_xlfn.SINGLE(Stock[Costo real (C$)]),"-"))</f>
        <v>481.6511999999999</v>
      </c>
      <c r="E28" s="11">
        <f>IF(Table3[[#This Row],[Producto]]="","-",_xlfn.XLOOKUP(Table3[[#This Row],[Codigo ]],_xlfn.SINGLE(Stock[[Codigo ]]),_xlfn.SINGLE(Stock[Precio de venta (C$)]),"-"))</f>
        <v>522.72120000000007</v>
      </c>
      <c r="F28" s="11">
        <f>0.9*Table3[[#This Row],[Precio de venta (C$)]]</f>
        <v>470.44908000000009</v>
      </c>
      <c r="G28" s="11">
        <f>Table3[[#This Row],[3+ Und]]-Table3[[#This Row],[Costo Real ]]</f>
        <v>-11.202119999999809</v>
      </c>
      <c r="H28">
        <f>0.85*Table3[[#This Row],[Precio de venta (C$)]]</f>
        <v>444.31302000000005</v>
      </c>
      <c r="I28" s="11">
        <f>Table3[[#This Row],[6+ Und]]-Table3[[#This Row],[Costo Real ]]</f>
        <v>-37.338179999999852</v>
      </c>
      <c r="J28" s="11">
        <f>0.8*Table3[[#This Row],[Precio de venta (C$)]]</f>
        <v>418.17696000000007</v>
      </c>
      <c r="K28" s="11">
        <f>Table3[[#This Row],[12+ Und]]-Table3[[#This Row],[Costo Real ]]</f>
        <v>-63.474239999999838</v>
      </c>
    </row>
    <row r="29" spans="1:11" x14ac:dyDescent="0.25">
      <c r="A29" t="s">
        <v>112</v>
      </c>
      <c r="B29" t="str">
        <f>IF(_xlfn.SINGLE(Compras[Estado])="Recibido",_xlfn.XLOOKUP(Table3[[#This Row],[Codigo ]],_xlfn.SINGLE(Compras[Codigo]),_xlfn.SINGLE(Compras[Lote]),"-"),"-")</f>
        <v>LT3</v>
      </c>
      <c r="C29" t="str">
        <f>IF(_xlfn.SINGLE(Compras[Estado])="Recibido",_xlfn.XLOOKUP(Table3[[#This Row],[Codigo ]],_xlfn.SINGLE(Compras[Codigo]),_xlfn.SINGLE(Compras[Producto]),"-"),"-")</f>
        <v>Mouse Pad | Pequeño | Negro</v>
      </c>
      <c r="D29" s="11">
        <f>IF(Table3[[#This Row],[Producto]]="","-",_xlfn.XLOOKUP(Table3[[#This Row],[Codigo ]],_xlfn.SINGLE(Stock[[Codigo ]]),_xlfn.SINGLE(Stock[Costo real (C$)]),"-"))</f>
        <v>29.511200000000002</v>
      </c>
      <c r="E29" s="11">
        <f>IF(Table3[[#This Row],[Producto]]="","-",_xlfn.XLOOKUP(Table3[[#This Row],[Codigo ]],_xlfn.SINGLE(Stock[[Codigo ]]),_xlfn.SINGLE(Stock[Precio de venta (C$)]),"-"))</f>
        <v>575.26119999999992</v>
      </c>
      <c r="F29" s="11">
        <f>0.9*Table3[[#This Row],[Precio de venta (C$)]]</f>
        <v>517.73507999999993</v>
      </c>
      <c r="G29" s="11">
        <f>Table3[[#This Row],[3+ Und]]-Table3[[#This Row],[Costo Real ]]</f>
        <v>488.22387999999989</v>
      </c>
      <c r="H29">
        <f>0.85*Table3[[#This Row],[Precio de venta (C$)]]</f>
        <v>488.97201999999993</v>
      </c>
      <c r="I29" s="11">
        <f>Table3[[#This Row],[6+ Und]]-Table3[[#This Row],[Costo Real ]]</f>
        <v>459.4608199999999</v>
      </c>
      <c r="J29" s="11">
        <f>0.8*Table3[[#This Row],[Precio de venta (C$)]]</f>
        <v>460.20895999999993</v>
      </c>
      <c r="K29" s="11">
        <f>Table3[[#This Row],[12+ Und]]-Table3[[#This Row],[Costo Real ]]</f>
        <v>430.6977599999999</v>
      </c>
    </row>
    <row r="30" spans="1:11" x14ac:dyDescent="0.25">
      <c r="A30" t="s">
        <v>113</v>
      </c>
      <c r="B30" t="str">
        <f>IF(_xlfn.SINGLE(Compras[Estado])="Recibido",_xlfn.XLOOKUP(Table3[[#This Row],[Codigo ]],_xlfn.SINGLE(Compras[Codigo]),_xlfn.SINGLE(Compras[Lote]),"-"),"-")</f>
        <v>LT3</v>
      </c>
      <c r="C30" t="str">
        <f>IF(_xlfn.SINGLE(Compras[Estado])="Recibido",_xlfn.XLOOKUP(Table3[[#This Row],[Codigo ]],_xlfn.SINGLE(Compras[Codigo]),_xlfn.SINGLE(Compras[Producto]),"-"),"-")</f>
        <v>Mouse Pad | Pequeño | Gris</v>
      </c>
      <c r="D30" s="11">
        <f>IF(Table3[[#This Row],[Producto]]="","-",_xlfn.XLOOKUP(Table3[[#This Row],[Codigo ]],_xlfn.SINGLE(Stock[[Codigo ]]),_xlfn.SINGLE(Stock[Costo real (C$)]),"-"))</f>
        <v>29.511200000000002</v>
      </c>
      <c r="E30" s="11">
        <f>IF(Table3[[#This Row],[Producto]]="","-",_xlfn.XLOOKUP(Table3[[#This Row],[Codigo ]],_xlfn.SINGLE(Stock[[Codigo ]]),_xlfn.SINGLE(Stock[Precio de venta (C$)]),"-"))</f>
        <v>575.26119999999992</v>
      </c>
      <c r="F30" s="11">
        <f>0.9*Table3[[#This Row],[Precio de venta (C$)]]</f>
        <v>517.73507999999993</v>
      </c>
      <c r="G30" s="11">
        <f>Table3[[#This Row],[3+ Und]]-Table3[[#This Row],[Costo Real ]]</f>
        <v>488.22387999999989</v>
      </c>
      <c r="H30">
        <f>0.85*Table3[[#This Row],[Precio de venta (C$)]]</f>
        <v>488.97201999999993</v>
      </c>
      <c r="I30" s="11">
        <f>Table3[[#This Row],[6+ Und]]-Table3[[#This Row],[Costo Real ]]</f>
        <v>459.4608199999999</v>
      </c>
      <c r="J30" s="11">
        <f>0.8*Table3[[#This Row],[Precio de venta (C$)]]</f>
        <v>460.20895999999993</v>
      </c>
      <c r="K30" s="11">
        <f>Table3[[#This Row],[12+ Und]]-Table3[[#This Row],[Costo Real ]]</f>
        <v>430.6977599999999</v>
      </c>
    </row>
    <row r="31" spans="1:11" x14ac:dyDescent="0.25">
      <c r="A31" t="s">
        <v>114</v>
      </c>
      <c r="B31" t="str">
        <f>IF(_xlfn.SINGLE(Compras[Estado])="Recibido",_xlfn.XLOOKUP(Table3[[#This Row],[Codigo ]],_xlfn.SINGLE(Compras[Codigo]),_xlfn.SINGLE(Compras[Lote]),"-"),"-")</f>
        <v>LT3</v>
      </c>
      <c r="C31" t="str">
        <f>IF(_xlfn.SINGLE(Compras[Estado])="Recibido",_xlfn.XLOOKUP(Table3[[#This Row],[Codigo ]],_xlfn.SINGLE(Compras[Codigo]),_xlfn.SINGLE(Compras[Producto]),"-"),"-")</f>
        <v>Headset Onikuma K19 | Gris</v>
      </c>
      <c r="D31" s="11">
        <f>IF(Table3[[#This Row],[Producto]]="","-",_xlfn.XLOOKUP(Table3[[#This Row],[Codigo ]],_xlfn.SINGLE(Stock[[Codigo ]]),_xlfn.SINGLE(Stock[Costo real (C$)]),"-"))</f>
        <v>334.76119999999997</v>
      </c>
      <c r="E31" s="11">
        <f>IF(Table3[[#This Row],[Producto]]="","-",_xlfn.XLOOKUP(Table3[[#This Row],[Codigo ]],_xlfn.SINGLE(Stock[[Codigo ]]),_xlfn.SINGLE(Stock[Precio de venta (C$)]),"-"))</f>
        <v>0</v>
      </c>
      <c r="F31" s="11">
        <f>0.9*Table3[[#This Row],[Precio de venta (C$)]]</f>
        <v>0</v>
      </c>
      <c r="G31" s="11">
        <f>Table3[[#This Row],[3+ Und]]-Table3[[#This Row],[Costo Real ]]</f>
        <v>-334.76119999999997</v>
      </c>
      <c r="H31">
        <f>0.85*Table3[[#This Row],[Precio de venta (C$)]]</f>
        <v>0</v>
      </c>
      <c r="I31" s="11">
        <f>Table3[[#This Row],[6+ Und]]-Table3[[#This Row],[Costo Real ]]</f>
        <v>-334.76119999999997</v>
      </c>
      <c r="J31" s="11">
        <f>0.8*Table3[[#This Row],[Precio de venta (C$)]]</f>
        <v>0</v>
      </c>
      <c r="K31" s="11">
        <f>Table3[[#This Row],[12+ Und]]-Table3[[#This Row],[Costo Real ]]</f>
        <v>-334.76119999999997</v>
      </c>
    </row>
    <row r="32" spans="1:11" x14ac:dyDescent="0.25">
      <c r="A32" t="s">
        <v>115</v>
      </c>
      <c r="B32" t="str">
        <f>IF(_xlfn.SINGLE(Compras[Estado])="Recibido",_xlfn.XLOOKUP(Table3[[#This Row],[Codigo ]],_xlfn.SINGLE(Compras[Codigo]),_xlfn.SINGLE(Compras[Lote]),"-"),"-")</f>
        <v>LT3</v>
      </c>
      <c r="C32" t="str">
        <f>IF(_xlfn.SINGLE(Compras[Estado])="Recibido",_xlfn.XLOOKUP(Table3[[#This Row],[Codigo ]],_xlfn.SINGLE(Compras[Codigo]),_xlfn.SINGLE(Compras[Producto]),"-"),"-")</f>
        <v xml:space="preserve">Headset Onikuma X26 </v>
      </c>
      <c r="D32" s="11">
        <f>IF(Table3[[#This Row],[Producto]]="","-",_xlfn.XLOOKUP(Table3[[#This Row],[Codigo ]],_xlfn.SINGLE(Stock[[Codigo ]]),_xlfn.SINGLE(Stock[Costo real (C$)]),"-"))</f>
        <v>329.21120000000002</v>
      </c>
      <c r="E32" s="11">
        <f>IF(Table3[[#This Row],[Producto]]="","-",_xlfn.XLOOKUP(Table3[[#This Row],[Codigo ]],_xlfn.SINGLE(Stock[[Codigo ]]),_xlfn.SINGLE(Stock[Precio de venta (C$)]),"-"))</f>
        <v>0</v>
      </c>
      <c r="F32" s="11">
        <f>0.9*Table3[[#This Row],[Precio de venta (C$)]]</f>
        <v>0</v>
      </c>
      <c r="G32" s="11">
        <f>Table3[[#This Row],[3+ Und]]-Table3[[#This Row],[Costo Real ]]</f>
        <v>-329.21120000000002</v>
      </c>
      <c r="H32">
        <f>0.85*Table3[[#This Row],[Precio de venta (C$)]]</f>
        <v>0</v>
      </c>
      <c r="I32" s="11">
        <f>Table3[[#This Row],[6+ Und]]-Table3[[#This Row],[Costo Real ]]</f>
        <v>-329.21120000000002</v>
      </c>
      <c r="J32" s="11">
        <f>0.8*Table3[[#This Row],[Precio de venta (C$)]]</f>
        <v>0</v>
      </c>
      <c r="K32" s="11">
        <f>Table3[[#This Row],[12+ Und]]-Table3[[#This Row],[Costo Real ]]</f>
        <v>-329.21120000000002</v>
      </c>
    </row>
    <row r="33" spans="1:11" x14ac:dyDescent="0.25">
      <c r="A33" t="s">
        <v>116</v>
      </c>
      <c r="B33" t="str">
        <f>IF(_xlfn.SINGLE(Compras[Estado])="Recibido",_xlfn.XLOOKUP(Table3[[#This Row],[Codigo ]],_xlfn.SINGLE(Compras[Codigo]),_xlfn.SINGLE(Compras[Lote]),"-"),"-")</f>
        <v>LT3</v>
      </c>
      <c r="C33" t="str">
        <f>IF(_xlfn.SINGLE(Compras[Estado])="Recibido",_xlfn.XLOOKUP(Table3[[#This Row],[Codigo ]],_xlfn.SINGLE(Compras[Codigo]),_xlfn.SINGLE(Compras[Producto]),"-"),"-")</f>
        <v>Earbuds T9</v>
      </c>
      <c r="D33" s="11">
        <f>IF(Table3[[#This Row],[Producto]]="","-",_xlfn.XLOOKUP(Table3[[#This Row],[Codigo ]],_xlfn.SINGLE(Stock[[Codigo ]]),_xlfn.SINGLE(Stock[Costo real (C$)]),"-"))</f>
        <v>340.68119999999999</v>
      </c>
      <c r="E33" s="11">
        <f>IF(Table3[[#This Row],[Producto]]="","-",_xlfn.XLOOKUP(Table3[[#This Row],[Codigo ]],_xlfn.SINGLE(Stock[[Codigo ]]),_xlfn.SINGLE(Stock[Precio de venta (C$)]),"-"))</f>
        <v>0</v>
      </c>
      <c r="F33" s="11">
        <f>0.9*Table3[[#This Row],[Precio de venta (C$)]]</f>
        <v>0</v>
      </c>
      <c r="G33" s="11">
        <f>Table3[[#This Row],[3+ Und]]-Table3[[#This Row],[Costo Real ]]</f>
        <v>-340.68119999999999</v>
      </c>
      <c r="H33">
        <f>0.85*Table3[[#This Row],[Precio de venta (C$)]]</f>
        <v>0</v>
      </c>
      <c r="I33" s="11">
        <f>Table3[[#This Row],[6+ Und]]-Table3[[#This Row],[Costo Real ]]</f>
        <v>-340.68119999999999</v>
      </c>
      <c r="J33" s="11">
        <f>0.8*Table3[[#This Row],[Precio de venta (C$)]]</f>
        <v>0</v>
      </c>
      <c r="K33" s="11">
        <f>Table3[[#This Row],[12+ Und]]-Table3[[#This Row],[Costo Real ]]</f>
        <v>-340.68119999999999</v>
      </c>
    </row>
    <row r="34" spans="1:11" x14ac:dyDescent="0.25">
      <c r="A34" t="s">
        <v>117</v>
      </c>
      <c r="B34" t="str">
        <f>IF(_xlfn.SINGLE(Compras[Estado])="Recibido",_xlfn.XLOOKUP(Table3[[#This Row],[Codigo ]],_xlfn.SINGLE(Compras[Codigo]),_xlfn.SINGLE(Compras[Lote]),"-"),"-")</f>
        <v>LT3</v>
      </c>
      <c r="C34" t="str">
        <f>IF(_xlfn.SINGLE(Compras[Estado])="Recibido",_xlfn.XLOOKUP(Table3[[#This Row],[Codigo ]],_xlfn.SINGLE(Compras[Codigo]),_xlfn.SINGLE(Compras[Producto]),"-"),"-")</f>
        <v>Microfono Lapel M9</v>
      </c>
      <c r="D34" s="11">
        <f>IF(Table3[[#This Row],[Producto]]="","-",_xlfn.XLOOKUP(Table3[[#This Row],[Codigo ]],_xlfn.SINGLE(Stock[[Codigo ]]),_xlfn.SINGLE(Stock[Costo real (C$)]),"-"))</f>
        <v>534.93119999999999</v>
      </c>
      <c r="E34" s="11">
        <f>IF(Table3[[#This Row],[Producto]]="","-",_xlfn.XLOOKUP(Table3[[#This Row],[Codigo ]],_xlfn.SINGLE(Stock[[Codigo ]]),_xlfn.SINGLE(Stock[Precio de venta (C$)]),"-"))</f>
        <v>0</v>
      </c>
      <c r="F34" s="11">
        <f>0.9*Table3[[#This Row],[Precio de venta (C$)]]</f>
        <v>0</v>
      </c>
      <c r="G34" s="11">
        <f>Table3[[#This Row],[3+ Und]]-Table3[[#This Row],[Costo Real ]]</f>
        <v>-534.93119999999999</v>
      </c>
      <c r="H34">
        <f>0.85*Table3[[#This Row],[Precio de venta (C$)]]</f>
        <v>0</v>
      </c>
      <c r="I34" s="11">
        <f>Table3[[#This Row],[6+ Und]]-Table3[[#This Row],[Costo Real ]]</f>
        <v>-534.93119999999999</v>
      </c>
      <c r="J34" s="11">
        <f>0.8*Table3[[#This Row],[Precio de venta (C$)]]</f>
        <v>0</v>
      </c>
      <c r="K34" s="11">
        <f>Table3[[#This Row],[12+ Und]]-Table3[[#This Row],[Costo Real ]]</f>
        <v>-534.93119999999999</v>
      </c>
    </row>
    <row r="35" spans="1:11" x14ac:dyDescent="0.25">
      <c r="A35" t="s">
        <v>118</v>
      </c>
      <c r="B35" t="str">
        <f>IF(_xlfn.SINGLE(Compras[Estado])="Recibido",_xlfn.XLOOKUP(Table3[[#This Row],[Codigo ]],_xlfn.SINGLE(Compras[Codigo]),_xlfn.SINGLE(Compras[Lote]),"-"),"-")</f>
        <v>LT3</v>
      </c>
      <c r="C35" t="str">
        <f>IF(_xlfn.SINGLE(Compras[Estado])="Recibido",_xlfn.XLOOKUP(Table3[[#This Row],[Codigo ]],_xlfn.SINGLE(Compras[Codigo]),_xlfn.SINGLE(Compras[Producto]),"-"),"-")</f>
        <v>Mouse Attack Shark X8 | White</v>
      </c>
      <c r="D35" s="11">
        <f>IF(Table3[[#This Row],[Producto]]="","-",_xlfn.XLOOKUP(Table3[[#This Row],[Codigo ]],_xlfn.SINGLE(Stock[[Codigo ]]),_xlfn.SINGLE(Stock[Costo real (C$)]),"-"))</f>
        <v>522.72120000000007</v>
      </c>
      <c r="E35" s="11">
        <f>IF(Table3[[#This Row],[Producto]]="","-",_xlfn.XLOOKUP(Table3[[#This Row],[Codigo ]],_xlfn.SINGLE(Stock[[Codigo ]]),_xlfn.SINGLE(Stock[Precio de venta (C$)]),"-"))</f>
        <v>0</v>
      </c>
      <c r="F35" s="11">
        <f>0.9*Table3[[#This Row],[Precio de venta (C$)]]</f>
        <v>0</v>
      </c>
      <c r="G35" s="11">
        <f>Table3[[#This Row],[3+ Und]]-Table3[[#This Row],[Costo Real ]]</f>
        <v>-522.72120000000007</v>
      </c>
      <c r="H35">
        <f>0.85*Table3[[#This Row],[Precio de venta (C$)]]</f>
        <v>0</v>
      </c>
      <c r="I35" s="11">
        <f>Table3[[#This Row],[6+ Und]]-Table3[[#This Row],[Costo Real ]]</f>
        <v>-522.72120000000007</v>
      </c>
      <c r="J35" s="11">
        <f>0.8*Table3[[#This Row],[Precio de venta (C$)]]</f>
        <v>0</v>
      </c>
      <c r="K35" s="11">
        <f>Table3[[#This Row],[12+ Und]]-Table3[[#This Row],[Costo Real ]]</f>
        <v>-522.72120000000007</v>
      </c>
    </row>
    <row r="36" spans="1:11" x14ac:dyDescent="0.25">
      <c r="A36" t="s">
        <v>119</v>
      </c>
      <c r="B36" t="str">
        <f>IF(_xlfn.SINGLE(Compras[Estado])="Recibido",_xlfn.XLOOKUP(Table3[[#This Row],[Codigo ]],_xlfn.SINGLE(Compras[Codigo]),_xlfn.SINGLE(Compras[Lote]),"-"),"-")</f>
        <v>LT3</v>
      </c>
      <c r="C36" t="str">
        <f>IF(_xlfn.SINGLE(Compras[Estado])="Recibido",_xlfn.XLOOKUP(Table3[[#This Row],[Codigo ]],_xlfn.SINGLE(Compras[Codigo]),_xlfn.SINGLE(Compras[Producto]),"-"),"-")</f>
        <v>Mouse Attack Shark X8 | White</v>
      </c>
      <c r="D36" s="11">
        <f>IF(Table3[[#This Row],[Producto]]="","-",_xlfn.XLOOKUP(Table3[[#This Row],[Codigo ]],_xlfn.SINGLE(Stock[[Codigo ]]),_xlfn.SINGLE(Stock[Costo real (C$)]),"-"))</f>
        <v>522.72120000000007</v>
      </c>
      <c r="E36" s="11">
        <f>IF(Table3[[#This Row],[Producto]]="","-",_xlfn.XLOOKUP(Table3[[#This Row],[Codigo ]],_xlfn.SINGLE(Stock[[Codigo ]]),_xlfn.SINGLE(Stock[Precio de venta (C$)]),"-"))</f>
        <v>0</v>
      </c>
      <c r="F36" s="11">
        <f>0.9*Table3[[#This Row],[Precio de venta (C$)]]</f>
        <v>0</v>
      </c>
      <c r="G36" s="11">
        <f>Table3[[#This Row],[3+ Und]]-Table3[[#This Row],[Costo Real ]]</f>
        <v>-522.72120000000007</v>
      </c>
      <c r="H36">
        <f>0.85*Table3[[#This Row],[Precio de venta (C$)]]</f>
        <v>0</v>
      </c>
      <c r="I36" s="11">
        <f>Table3[[#This Row],[6+ Und]]-Table3[[#This Row],[Costo Real ]]</f>
        <v>-522.72120000000007</v>
      </c>
      <c r="J36" s="11">
        <f>0.8*Table3[[#This Row],[Precio de venta (C$)]]</f>
        <v>0</v>
      </c>
      <c r="K36" s="11">
        <f>Table3[[#This Row],[12+ Und]]-Table3[[#This Row],[Costo Real ]]</f>
        <v>-522.72120000000007</v>
      </c>
    </row>
    <row r="37" spans="1:11" x14ac:dyDescent="0.25">
      <c r="A37" t="s">
        <v>120</v>
      </c>
      <c r="B37" t="str">
        <f>IF(_xlfn.SINGLE(Compras[Estado])="Recibido",_xlfn.XLOOKUP(Table3[[#This Row],[Codigo ]],_xlfn.SINGLE(Compras[Codigo]),_xlfn.SINGLE(Compras[Lote]),"-"),"-")</f>
        <v>LT3</v>
      </c>
      <c r="C37" t="str">
        <f>IF(_xlfn.SINGLE(Compras[Estado])="Recibido",_xlfn.XLOOKUP(Table3[[#This Row],[Codigo ]],_xlfn.SINGLE(Compras[Codigo]),_xlfn.SINGLE(Compras[Producto]),"-"),"-")</f>
        <v>Mouse Attack Shark G3 Pro | White</v>
      </c>
      <c r="D37" s="11">
        <f>IF(Table3[[#This Row],[Producto]]="","-",_xlfn.XLOOKUP(Table3[[#This Row],[Codigo ]],_xlfn.SINGLE(Stock[[Codigo ]]),_xlfn.SINGLE(Stock[Costo real (C$)]),"-"))</f>
        <v>575.26119999999992</v>
      </c>
      <c r="E37" s="11">
        <f>IF(Table3[[#This Row],[Producto]]="","-",_xlfn.XLOOKUP(Table3[[#This Row],[Codigo ]],_xlfn.SINGLE(Stock[[Codigo ]]),_xlfn.SINGLE(Stock[Precio de venta (C$)]),"-"))</f>
        <v>0</v>
      </c>
      <c r="F37" s="11">
        <f>0.9*Table3[[#This Row],[Precio de venta (C$)]]</f>
        <v>0</v>
      </c>
      <c r="G37" s="11">
        <f>Table3[[#This Row],[3+ Und]]-Table3[[#This Row],[Costo Real ]]</f>
        <v>-575.26119999999992</v>
      </c>
      <c r="H37">
        <f>0.85*Table3[[#This Row],[Precio de venta (C$)]]</f>
        <v>0</v>
      </c>
      <c r="I37" s="11">
        <f>Table3[[#This Row],[6+ Und]]-Table3[[#This Row],[Costo Real ]]</f>
        <v>-575.26119999999992</v>
      </c>
      <c r="J37" s="11">
        <f>0.8*Table3[[#This Row],[Precio de venta (C$)]]</f>
        <v>0</v>
      </c>
      <c r="K37" s="11">
        <f>Table3[[#This Row],[12+ Und]]-Table3[[#This Row],[Costo Real ]]</f>
        <v>-575.26119999999992</v>
      </c>
    </row>
    <row r="38" spans="1:11" x14ac:dyDescent="0.25">
      <c r="A38" t="s">
        <v>121</v>
      </c>
      <c r="B38" t="str">
        <f>IF(_xlfn.SINGLE(Compras[Estado])="Recibido",_xlfn.XLOOKUP(Table3[[#This Row],[Codigo ]],_xlfn.SINGLE(Compras[Codigo]),_xlfn.SINGLE(Compras[Lote]),"-"),"-")</f>
        <v>LT3</v>
      </c>
      <c r="C38" t="str">
        <f>IF(_xlfn.SINGLE(Compras[Estado])="Recibido",_xlfn.XLOOKUP(Table3[[#This Row],[Codigo ]],_xlfn.SINGLE(Compras[Codigo]),_xlfn.SINGLE(Compras[Producto]),"-"),"-")</f>
        <v>Mouse Attack Shark G3 Pro | White</v>
      </c>
      <c r="D38" s="11">
        <f>IF(Table3[[#This Row],[Producto]]="","-",_xlfn.XLOOKUP(Table3[[#This Row],[Codigo ]],_xlfn.SINGLE(Stock[[Codigo ]]),_xlfn.SINGLE(Stock[Costo real (C$)]),"-"))</f>
        <v>575.26119999999992</v>
      </c>
      <c r="E38" s="11">
        <f>IF(Table3[[#This Row],[Producto]]="","-",_xlfn.XLOOKUP(Table3[[#This Row],[Codigo ]],_xlfn.SINGLE(Stock[[Codigo ]]),_xlfn.SINGLE(Stock[Precio de venta (C$)]),"-"))</f>
        <v>0</v>
      </c>
      <c r="F38" s="11">
        <f>0.9*Table3[[#This Row],[Precio de venta (C$)]]</f>
        <v>0</v>
      </c>
      <c r="G38" s="11">
        <f>Table3[[#This Row],[3+ Und]]-Table3[[#This Row],[Costo Real ]]</f>
        <v>-575.26119999999992</v>
      </c>
      <c r="H38">
        <f>0.85*Table3[[#This Row],[Precio de venta (C$)]]</f>
        <v>0</v>
      </c>
      <c r="I38" s="11">
        <f>Table3[[#This Row],[6+ Und]]-Table3[[#This Row],[Costo Real ]]</f>
        <v>-575.26119999999992</v>
      </c>
      <c r="J38" s="11">
        <f>0.8*Table3[[#This Row],[Precio de venta (C$)]]</f>
        <v>0</v>
      </c>
      <c r="K38" s="11">
        <f>Table3[[#This Row],[12+ Und]]-Table3[[#This Row],[Costo Real ]]</f>
        <v>-575.26119999999992</v>
      </c>
    </row>
    <row r="39" spans="1:11" x14ac:dyDescent="0.25">
      <c r="A39" t="s">
        <v>125</v>
      </c>
      <c r="B39" t="str">
        <f>IF(_xlfn.SINGLE(Compras[Estado])="Recibido",_xlfn.XLOOKUP(Table3[[#This Row],[Codigo ]],_xlfn.SINGLE(Compras[Codigo]),_xlfn.SINGLE(Compras[Lote]),"-"),"-")</f>
        <v>-</v>
      </c>
      <c r="C39" t="str">
        <f>IF(_xlfn.SINGLE(Compras[Estado])="Recibido",_xlfn.XLOOKUP(Table3[[#This Row],[Codigo ]],_xlfn.SINGLE(Compras[Codigo]),_xlfn.SINGLE(Compras[Producto]),"-"),"-")</f>
        <v>-</v>
      </c>
      <c r="D39" s="11" t="e">
        <f>IF(Table3[[#This Row],[Producto]]="","-",_xlfn.XLOOKUP(Table3[[#This Row],[Codigo ]],_xlfn.SINGLE(Stock[[Codigo ]]),_xlfn.SINGLE(Stock[Costo real (C$)]),"-"))</f>
        <v>#VALUE!</v>
      </c>
      <c r="E39" s="11" t="e">
        <f>IF(Table3[[#This Row],[Producto]]="","-",_xlfn.XLOOKUP(Table3[[#This Row],[Codigo ]],_xlfn.SINGLE(Stock[[Codigo ]]),_xlfn.SINGLE(Stock[Precio de venta (C$)]),"-"))</f>
        <v>#VALUE!</v>
      </c>
      <c r="F39" s="11" t="e">
        <f>0.9*Table3[[#This Row],[Precio de venta (C$)]]</f>
        <v>#VALUE!</v>
      </c>
      <c r="G39" s="11" t="e">
        <f>Table3[[#This Row],[3+ Und]]-Table3[[#This Row],[Costo Real ]]</f>
        <v>#VALUE!</v>
      </c>
      <c r="H39" t="e">
        <f>0.85*Table3[[#This Row],[Precio de venta (C$)]]</f>
        <v>#VALUE!</v>
      </c>
      <c r="I39" s="11" t="e">
        <f>Table3[[#This Row],[6+ Und]]-Table3[[#This Row],[Costo Real ]]</f>
        <v>#VALUE!</v>
      </c>
      <c r="J39" s="11" t="e">
        <f>0.8*Table3[[#This Row],[Precio de venta (C$)]]</f>
        <v>#VALUE!</v>
      </c>
      <c r="K39" s="11" t="e">
        <f>Table3[[#This Row],[12+ Und]]-Table3[[#This Row],[Costo Real ]]</f>
        <v>#VALUE!</v>
      </c>
    </row>
    <row r="49" spans="3:3" x14ac:dyDescent="0.25">
      <c r="C49" t="s">
        <v>225</v>
      </c>
    </row>
    <row r="50" spans="3:3" x14ac:dyDescent="0.25">
      <c r="C50" t="s">
        <v>226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67714d-5672-4e82-a021-3965332d875e" xsi:nil="true"/>
    <lcf76f155ced4ddcb4097134ff3c332f xmlns="c474e1bc-2fed-4f13-85a3-f6442e6231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860EFF01533E48BBDD77F9E0EE2485" ma:contentTypeVersion="12" ma:contentTypeDescription="Create a new document." ma:contentTypeScope="" ma:versionID="ec27da6ba40c68b71a8cfc6f58aaaf92">
  <xsd:schema xmlns:xsd="http://www.w3.org/2001/XMLSchema" xmlns:xs="http://www.w3.org/2001/XMLSchema" xmlns:p="http://schemas.microsoft.com/office/2006/metadata/properties" xmlns:ns2="c474e1bc-2fed-4f13-85a3-f6442e6231fe" xmlns:ns3="b467714d-5672-4e82-a021-3965332d875e" targetNamespace="http://schemas.microsoft.com/office/2006/metadata/properties" ma:root="true" ma:fieldsID="18dcdb1348a4608a71a2e0f3196c8fb0" ns2:_="" ns3:_="">
    <xsd:import namespace="c474e1bc-2fed-4f13-85a3-f6442e6231fe"/>
    <xsd:import namespace="b467714d-5672-4e82-a021-3965332d87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4e1bc-2fed-4f13-85a3-f6442e6231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b786de6-0f0d-43a4-849b-1fb3ac6b07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7714d-5672-4e82-a021-3965332d875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13d2955-f841-4458-bfe2-590aea5ec74d}" ma:internalName="TaxCatchAll" ma:showField="CatchAllData" ma:web="b467714d-5672-4e82-a021-3965332d87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7C8921-01B4-4272-8817-01A80D3B5314}">
  <ds:schemaRefs>
    <ds:schemaRef ds:uri="http://purl.org/dc/dcmitype/"/>
    <ds:schemaRef ds:uri="b467714d-5672-4e82-a021-3965332d875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c474e1bc-2fed-4f13-85a3-f6442e6231fe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E7017E3-9609-4CF9-B523-1D3CF9CC3A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2610E3-8FE6-4642-B4EE-0F936007956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474e1bc-2fed-4f13-85a3-f6442e6231fe"/>
    <ds:schemaRef ds:uri="b467714d-5672-4e82-a021-3965332d875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a4170-0d19-0005-0004-bc88714345d2}" enabled="1" method="Standard" siteId="{0f536715-b2a7-4c64-8c24-83b9dcd3b44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Compras</vt:lpstr>
      <vt:lpstr>Stock</vt:lpstr>
      <vt:lpstr>Mayor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Aburto</dc:creator>
  <cp:lastModifiedBy>Gerald Admin 1</cp:lastModifiedBy>
  <dcterms:created xsi:type="dcterms:W3CDTF">2015-06-05T18:17:20Z</dcterms:created>
  <dcterms:modified xsi:type="dcterms:W3CDTF">2026-06-15T04:51:35Z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0x010100DA860EFF01533E48BBDD77F9E0EE2485</vt:lpwstr>
  </property>
  <property fmtid="{D5CDD505-2E9C-101B-9397-08002B2CF9AE}" pid="3" name="MediaServiceImageTags">
    <vt:lpwstr/>
  </property>
</Properties>
</file>